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usou\"/>
    </mc:Choice>
  </mc:AlternateContent>
  <bookViews>
    <workbookView xWindow="0" yWindow="0" windowWidth="23040" windowHeight="9192" tabRatio="500" activeTab="2"/>
  </bookViews>
  <sheets>
    <sheet name="Planilha1" sheetId="1" r:id="rId1"/>
    <sheet name="Parametros" sheetId="2" r:id="rId2"/>
    <sheet name="Calculos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3" l="1"/>
  <c r="F28" i="3"/>
  <c r="G28" i="3"/>
  <c r="H28" i="3"/>
  <c r="I28" i="3"/>
  <c r="J28" i="3"/>
  <c r="K28" i="3"/>
  <c r="L28" i="3"/>
  <c r="M28" i="3" s="1"/>
  <c r="N28" i="3"/>
  <c r="O28" i="3"/>
  <c r="P28" i="3"/>
  <c r="Q28" i="3" s="1"/>
  <c r="R28" i="3" s="1"/>
  <c r="S28" i="3"/>
  <c r="U28" i="3" s="1"/>
  <c r="V28" i="3" s="1"/>
  <c r="W28" i="3" s="1"/>
  <c r="T28" i="3"/>
  <c r="X28" i="3"/>
  <c r="Y28" i="3" s="1"/>
  <c r="Z28" i="3" s="1"/>
  <c r="E28" i="1"/>
  <c r="F28" i="1"/>
  <c r="H28" i="1" l="1"/>
  <c r="I28" i="1"/>
  <c r="G28" i="1"/>
  <c r="E25" i="3"/>
  <c r="F25" i="3"/>
  <c r="K25" i="3" s="1"/>
  <c r="G25" i="3"/>
  <c r="H25" i="3"/>
  <c r="I25" i="3"/>
  <c r="J25" i="3"/>
  <c r="N25" i="3"/>
  <c r="P25" i="3" s="1"/>
  <c r="O25" i="3"/>
  <c r="S25" i="3"/>
  <c r="T25" i="3"/>
  <c r="U25" i="3"/>
  <c r="V25" i="3" s="1"/>
  <c r="W25" i="3" s="1"/>
  <c r="X25" i="3"/>
  <c r="G25" i="1" s="1"/>
  <c r="Y25" i="3"/>
  <c r="Z25" i="3" s="1"/>
  <c r="E26" i="3"/>
  <c r="F26" i="3"/>
  <c r="G26" i="3"/>
  <c r="H26" i="3"/>
  <c r="I26" i="3"/>
  <c r="J26" i="3"/>
  <c r="K26" i="3"/>
  <c r="L26" i="3" s="1"/>
  <c r="M26" i="3" s="1"/>
  <c r="N26" i="3"/>
  <c r="O26" i="3"/>
  <c r="P26" i="3" s="1"/>
  <c r="S26" i="3"/>
  <c r="U26" i="3" s="1"/>
  <c r="T26" i="3"/>
  <c r="X26" i="3"/>
  <c r="Y26" i="3" s="1"/>
  <c r="Z26" i="3" s="1"/>
  <c r="E27" i="3"/>
  <c r="E27" i="1" s="1"/>
  <c r="F27" i="3"/>
  <c r="K27" i="3" s="1"/>
  <c r="G27" i="3"/>
  <c r="H27" i="3"/>
  <c r="I27" i="3"/>
  <c r="J27" i="3"/>
  <c r="N27" i="3"/>
  <c r="P27" i="3" s="1"/>
  <c r="O27" i="3"/>
  <c r="S27" i="3"/>
  <c r="T27" i="3"/>
  <c r="U27" i="3"/>
  <c r="V27" i="3" s="1"/>
  <c r="W27" i="3" s="1"/>
  <c r="X27" i="3"/>
  <c r="Y27" i="3"/>
  <c r="Z27" i="3" s="1"/>
  <c r="I25" i="1"/>
  <c r="G26" i="1"/>
  <c r="G2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C24" i="3"/>
  <c r="D24" i="3" s="1"/>
  <c r="B24" i="3"/>
  <c r="A24" i="3"/>
  <c r="D23" i="3"/>
  <c r="C23" i="3"/>
  <c r="B23" i="3"/>
  <c r="A23" i="3"/>
  <c r="D22" i="3"/>
  <c r="E22" i="3" s="1"/>
  <c r="C22" i="3"/>
  <c r="B22" i="3"/>
  <c r="A22" i="3"/>
  <c r="X21" i="3"/>
  <c r="Y21" i="3" s="1"/>
  <c r="Z21" i="3" s="1"/>
  <c r="D21" i="3"/>
  <c r="C21" i="3"/>
  <c r="B21" i="3"/>
  <c r="A21" i="3"/>
  <c r="D20" i="3"/>
  <c r="E20" i="3" s="1"/>
  <c r="C20" i="3"/>
  <c r="B20" i="3"/>
  <c r="A20" i="3"/>
  <c r="X19" i="3"/>
  <c r="Y19" i="3" s="1"/>
  <c r="Z19" i="3" s="1"/>
  <c r="H19" i="3"/>
  <c r="D19" i="3"/>
  <c r="C19" i="3"/>
  <c r="B19" i="3"/>
  <c r="A19" i="3"/>
  <c r="N18" i="3"/>
  <c r="D18" i="3"/>
  <c r="E18" i="3" s="1"/>
  <c r="C18" i="3"/>
  <c r="B18" i="3"/>
  <c r="A18" i="3"/>
  <c r="D17" i="3"/>
  <c r="X17" i="3" s="1"/>
  <c r="C17" i="3"/>
  <c r="B17" i="3"/>
  <c r="A17" i="3"/>
  <c r="D16" i="3"/>
  <c r="E16" i="3" s="1"/>
  <c r="C16" i="3"/>
  <c r="B16" i="3"/>
  <c r="A16" i="3"/>
  <c r="D15" i="3"/>
  <c r="C15" i="3"/>
  <c r="B15" i="3"/>
  <c r="A15" i="3"/>
  <c r="D14" i="3"/>
  <c r="E14" i="3" s="1"/>
  <c r="C14" i="3"/>
  <c r="B14" i="3"/>
  <c r="A14" i="3"/>
  <c r="X13" i="3"/>
  <c r="Y13" i="3" s="1"/>
  <c r="Z13" i="3" s="1"/>
  <c r="H13" i="3"/>
  <c r="D13" i="3"/>
  <c r="C13" i="3"/>
  <c r="B13" i="3"/>
  <c r="A13" i="3"/>
  <c r="D12" i="3"/>
  <c r="C12" i="3"/>
  <c r="B12" i="3"/>
  <c r="A12" i="3"/>
  <c r="D11" i="3"/>
  <c r="C11" i="3"/>
  <c r="B11" i="3"/>
  <c r="A11" i="3"/>
  <c r="X10" i="3"/>
  <c r="Y10" i="3" s="1"/>
  <c r="Z10" i="3" s="1"/>
  <c r="H10" i="3"/>
  <c r="D10" i="3"/>
  <c r="C10" i="3"/>
  <c r="B10" i="3"/>
  <c r="A10" i="3"/>
  <c r="C9" i="3"/>
  <c r="D9" i="3" s="1"/>
  <c r="B9" i="3"/>
  <c r="A9" i="3"/>
  <c r="N8" i="3"/>
  <c r="E8" i="3"/>
  <c r="D8" i="3"/>
  <c r="X8" i="3" s="1"/>
  <c r="C8" i="3"/>
  <c r="B8" i="3"/>
  <c r="A8" i="3"/>
  <c r="C7" i="3"/>
  <c r="D7" i="3" s="1"/>
  <c r="B7" i="3"/>
  <c r="A7" i="3"/>
  <c r="N6" i="3"/>
  <c r="E6" i="3"/>
  <c r="D6" i="3"/>
  <c r="X6" i="3" s="1"/>
  <c r="Y6" i="3" s="1"/>
  <c r="Z6" i="3" s="1"/>
  <c r="C6" i="3"/>
  <c r="B6" i="3"/>
  <c r="A6" i="3"/>
  <c r="O5" i="3"/>
  <c r="G5" i="3"/>
  <c r="C5" i="3"/>
  <c r="D5" i="3" s="1"/>
  <c r="B5" i="3"/>
  <c r="A5" i="3"/>
  <c r="C4" i="3"/>
  <c r="D4" i="3" s="1"/>
  <c r="B4" i="3"/>
  <c r="A4" i="3"/>
  <c r="D27" i="2"/>
  <c r="O8" i="3" s="1"/>
  <c r="D26" i="2"/>
  <c r="N16" i="3" s="1"/>
  <c r="D19" i="2"/>
  <c r="J22" i="3" s="1"/>
  <c r="D18" i="2"/>
  <c r="I6" i="3" s="1"/>
  <c r="D17" i="2"/>
  <c r="H17" i="3" s="1"/>
  <c r="D16" i="2"/>
  <c r="G8" i="3" s="1"/>
  <c r="D15" i="2"/>
  <c r="F20" i="3" s="1"/>
  <c r="G21" i="1"/>
  <c r="G19" i="1"/>
  <c r="G10" i="1"/>
  <c r="Q27" i="3" l="1"/>
  <c r="R27" i="3" s="1"/>
  <c r="H27" i="1"/>
  <c r="I26" i="1"/>
  <c r="V26" i="3"/>
  <c r="W26" i="3" s="1"/>
  <c r="Q25" i="3"/>
  <c r="R25" i="3" s="1"/>
  <c r="H25" i="1"/>
  <c r="L27" i="3"/>
  <c r="M27" i="3" s="1"/>
  <c r="F27" i="1"/>
  <c r="H26" i="1"/>
  <c r="Q26" i="3"/>
  <c r="R26" i="3" s="1"/>
  <c r="F25" i="1"/>
  <c r="L25" i="3"/>
  <c r="M25" i="3" s="1"/>
  <c r="F26" i="1"/>
  <c r="I27" i="1"/>
  <c r="X4" i="3"/>
  <c r="T4" i="3"/>
  <c r="O4" i="3"/>
  <c r="N4" i="3"/>
  <c r="P4" i="3" s="1"/>
  <c r="S4" i="3"/>
  <c r="U4" i="3" s="1"/>
  <c r="S7" i="3"/>
  <c r="U7" i="3" s="1"/>
  <c r="O7" i="3"/>
  <c r="X7" i="3"/>
  <c r="T7" i="3"/>
  <c r="H7" i="3"/>
  <c r="E7" i="3"/>
  <c r="P8" i="3"/>
  <c r="I24" i="3"/>
  <c r="I22" i="3"/>
  <c r="I20" i="3"/>
  <c r="I18" i="3"/>
  <c r="I16" i="3"/>
  <c r="I14" i="3"/>
  <c r="I12" i="3"/>
  <c r="I10" i="3"/>
  <c r="I23" i="3"/>
  <c r="I21" i="3"/>
  <c r="I19" i="3"/>
  <c r="I17" i="3"/>
  <c r="I15" i="3"/>
  <c r="I13" i="3"/>
  <c r="I11" i="3"/>
  <c r="I8" i="3"/>
  <c r="I9" i="3"/>
  <c r="I7" i="3"/>
  <c r="I5" i="3"/>
  <c r="I4" i="3"/>
  <c r="S9" i="3"/>
  <c r="U9" i="3" s="1"/>
  <c r="O9" i="3"/>
  <c r="G9" i="3"/>
  <c r="T9" i="3"/>
  <c r="X9" i="3"/>
  <c r="E9" i="3"/>
  <c r="H9" i="3"/>
  <c r="Y17" i="3"/>
  <c r="Z17" i="3" s="1"/>
  <c r="G17" i="1"/>
  <c r="G6" i="1"/>
  <c r="E4" i="3"/>
  <c r="E4" i="1" s="1"/>
  <c r="X5" i="3"/>
  <c r="T5" i="3"/>
  <c r="H5" i="3"/>
  <c r="E5" i="3"/>
  <c r="S5" i="3"/>
  <c r="U5" i="3" s="1"/>
  <c r="G7" i="3"/>
  <c r="Y8" i="3"/>
  <c r="Z8" i="3" s="1"/>
  <c r="G8" i="1"/>
  <c r="F22" i="3"/>
  <c r="N24" i="3"/>
  <c r="P24" i="3" s="1"/>
  <c r="F8" i="3"/>
  <c r="K8" i="3" s="1"/>
  <c r="J8" i="3"/>
  <c r="G6" i="3"/>
  <c r="O6" i="3"/>
  <c r="P6" i="3" s="1"/>
  <c r="S6" i="3"/>
  <c r="U6" i="3" s="1"/>
  <c r="S8" i="3"/>
  <c r="U8" i="3" s="1"/>
  <c r="E10" i="3"/>
  <c r="S10" i="3"/>
  <c r="U10" i="3" s="1"/>
  <c r="T10" i="3"/>
  <c r="F11" i="3"/>
  <c r="N11" i="3"/>
  <c r="P11" i="3" s="1"/>
  <c r="H12" i="3"/>
  <c r="J14" i="3"/>
  <c r="S15" i="3"/>
  <c r="U15" i="3" s="1"/>
  <c r="E15" i="3"/>
  <c r="T15" i="3"/>
  <c r="S23" i="3"/>
  <c r="U23" i="3" s="1"/>
  <c r="E23" i="3"/>
  <c r="T23" i="3"/>
  <c r="E24" i="3"/>
  <c r="X24" i="3"/>
  <c r="T24" i="3"/>
  <c r="S24" i="3"/>
  <c r="U24" i="3" s="1"/>
  <c r="F23" i="3"/>
  <c r="K23" i="3" s="1"/>
  <c r="F21" i="3"/>
  <c r="F19" i="3"/>
  <c r="F17" i="3"/>
  <c r="K17" i="3" s="1"/>
  <c r="F15" i="3"/>
  <c r="K15" i="3" s="1"/>
  <c r="F13" i="3"/>
  <c r="J23" i="3"/>
  <c r="J21" i="3"/>
  <c r="J19" i="3"/>
  <c r="J17" i="3"/>
  <c r="J15" i="3"/>
  <c r="J13" i="3"/>
  <c r="F4" i="3"/>
  <c r="J4" i="3"/>
  <c r="F6" i="3"/>
  <c r="J6" i="3"/>
  <c r="J10" i="3"/>
  <c r="S11" i="3"/>
  <c r="U11" i="3" s="1"/>
  <c r="E11" i="3"/>
  <c r="T11" i="3"/>
  <c r="F12" i="3"/>
  <c r="F14" i="3"/>
  <c r="J16" i="3"/>
  <c r="S17" i="3"/>
  <c r="U17" i="3" s="1"/>
  <c r="E17" i="3"/>
  <c r="T17" i="3"/>
  <c r="G23" i="3"/>
  <c r="G21" i="3"/>
  <c r="G19" i="3"/>
  <c r="G17" i="3"/>
  <c r="G15" i="3"/>
  <c r="G13" i="3"/>
  <c r="G11" i="3"/>
  <c r="G24" i="3"/>
  <c r="G22" i="3"/>
  <c r="G20" i="3"/>
  <c r="K20" i="3" s="1"/>
  <c r="G18" i="3"/>
  <c r="G16" i="3"/>
  <c r="G14" i="3"/>
  <c r="G12" i="3"/>
  <c r="G10" i="3"/>
  <c r="N23" i="3"/>
  <c r="N21" i="3"/>
  <c r="P21" i="3" s="1"/>
  <c r="N19" i="3"/>
  <c r="P19" i="3" s="1"/>
  <c r="N17" i="3"/>
  <c r="N15" i="3"/>
  <c r="N13" i="3"/>
  <c r="P13" i="3" s="1"/>
  <c r="G4" i="3"/>
  <c r="G13" i="1"/>
  <c r="H24" i="3"/>
  <c r="H22" i="3"/>
  <c r="H20" i="3"/>
  <c r="H18" i="3"/>
  <c r="H16" i="3"/>
  <c r="H14" i="3"/>
  <c r="O23" i="3"/>
  <c r="O21" i="3"/>
  <c r="O19" i="3"/>
  <c r="O17" i="3"/>
  <c r="O15" i="3"/>
  <c r="O13" i="3"/>
  <c r="O11" i="3"/>
  <c r="O24" i="3"/>
  <c r="O22" i="3"/>
  <c r="O20" i="3"/>
  <c r="O18" i="3"/>
  <c r="P18" i="3" s="1"/>
  <c r="O16" i="3"/>
  <c r="P16" i="3" s="1"/>
  <c r="O14" i="3"/>
  <c r="O12" i="3"/>
  <c r="O10" i="3"/>
  <c r="H4" i="3"/>
  <c r="F5" i="3"/>
  <c r="K5" i="3" s="1"/>
  <c r="J5" i="3"/>
  <c r="N5" i="3"/>
  <c r="P5" i="3" s="1"/>
  <c r="H6" i="3"/>
  <c r="T6" i="3"/>
  <c r="F7" i="3"/>
  <c r="J7" i="3"/>
  <c r="N7" i="3"/>
  <c r="P7" i="3" s="1"/>
  <c r="H8" i="3"/>
  <c r="T8" i="3"/>
  <c r="F9" i="3"/>
  <c r="K9" i="3" s="1"/>
  <c r="J9" i="3"/>
  <c r="N9" i="3"/>
  <c r="P9" i="3" s="1"/>
  <c r="F10" i="3"/>
  <c r="K10" i="3" s="1"/>
  <c r="N10" i="3"/>
  <c r="P10" i="3" s="1"/>
  <c r="H11" i="3"/>
  <c r="X11" i="3"/>
  <c r="J12" i="3"/>
  <c r="S13" i="3"/>
  <c r="U13" i="3" s="1"/>
  <c r="E13" i="3"/>
  <c r="T13" i="3"/>
  <c r="N14" i="3"/>
  <c r="H15" i="3"/>
  <c r="X15" i="3"/>
  <c r="F18" i="3"/>
  <c r="K18" i="3" s="1"/>
  <c r="J20" i="3"/>
  <c r="S21" i="3"/>
  <c r="U21" i="3" s="1"/>
  <c r="E21" i="3"/>
  <c r="T21" i="3"/>
  <c r="N22" i="3"/>
  <c r="H23" i="3"/>
  <c r="X23" i="3"/>
  <c r="F24" i="3"/>
  <c r="K24" i="3" s="1"/>
  <c r="J11" i="3"/>
  <c r="E12" i="3"/>
  <c r="X12" i="3"/>
  <c r="T12" i="3"/>
  <c r="S12" i="3"/>
  <c r="U12" i="3" s="1"/>
  <c r="N12" i="3"/>
  <c r="P12" i="3" s="1"/>
  <c r="F16" i="3"/>
  <c r="K16" i="3" s="1"/>
  <c r="J18" i="3"/>
  <c r="S19" i="3"/>
  <c r="U19" i="3" s="1"/>
  <c r="E19" i="3"/>
  <c r="T19" i="3"/>
  <c r="N20" i="3"/>
  <c r="P20" i="3" s="1"/>
  <c r="H21" i="3"/>
  <c r="J24" i="3"/>
  <c r="S14" i="3"/>
  <c r="U14" i="3" s="1"/>
  <c r="S16" i="3"/>
  <c r="U16" i="3" s="1"/>
  <c r="S18" i="3"/>
  <c r="U18" i="3" s="1"/>
  <c r="S20" i="3"/>
  <c r="U20" i="3" s="1"/>
  <c r="S22" i="3"/>
  <c r="U22" i="3" s="1"/>
  <c r="T14" i="3"/>
  <c r="X14" i="3"/>
  <c r="T16" i="3"/>
  <c r="X16" i="3"/>
  <c r="T18" i="3"/>
  <c r="X18" i="3"/>
  <c r="T20" i="3"/>
  <c r="X20" i="3"/>
  <c r="T22" i="3"/>
  <c r="X22" i="3"/>
  <c r="Q16" i="3" l="1"/>
  <c r="R16" i="3" s="1"/>
  <c r="H16" i="1"/>
  <c r="L20" i="3"/>
  <c r="M20" i="3" s="1"/>
  <c r="F20" i="1"/>
  <c r="Q18" i="3"/>
  <c r="R18" i="3" s="1"/>
  <c r="H18" i="1"/>
  <c r="H6" i="1"/>
  <c r="Q6" i="3"/>
  <c r="R6" i="3" s="1"/>
  <c r="L23" i="3"/>
  <c r="M23" i="3" s="1"/>
  <c r="F23" i="1"/>
  <c r="Q24" i="3"/>
  <c r="R24" i="3" s="1"/>
  <c r="H24" i="1"/>
  <c r="I22" i="1"/>
  <c r="V22" i="3"/>
  <c r="W22" i="3" s="1"/>
  <c r="Q20" i="3"/>
  <c r="R20" i="3" s="1"/>
  <c r="H20" i="1"/>
  <c r="L24" i="3"/>
  <c r="M24" i="3" s="1"/>
  <c r="F24" i="1"/>
  <c r="Y11" i="3"/>
  <c r="Z11" i="3" s="1"/>
  <c r="G11" i="1"/>
  <c r="K12" i="3"/>
  <c r="K4" i="3"/>
  <c r="V10" i="3"/>
  <c r="W10" i="3" s="1"/>
  <c r="I10" i="1"/>
  <c r="I14" i="1"/>
  <c r="V14" i="3"/>
  <c r="W14" i="3" s="1"/>
  <c r="Y12" i="3"/>
  <c r="Z12" i="3" s="1"/>
  <c r="G12" i="1"/>
  <c r="Q13" i="3"/>
  <c r="R13" i="3" s="1"/>
  <c r="H13" i="1"/>
  <c r="V17" i="3"/>
  <c r="W17" i="3" s="1"/>
  <c r="I17" i="1"/>
  <c r="V24" i="3"/>
  <c r="W24" i="3" s="1"/>
  <c r="I24" i="1"/>
  <c r="Q11" i="3"/>
  <c r="R11" i="3" s="1"/>
  <c r="H11" i="1"/>
  <c r="K22" i="3"/>
  <c r="Y9" i="3"/>
  <c r="Z9" i="3" s="1"/>
  <c r="G9" i="1"/>
  <c r="G4" i="1"/>
  <c r="Y4" i="3"/>
  <c r="Z4" i="3" s="1"/>
  <c r="V20" i="3"/>
  <c r="W20" i="3" s="1"/>
  <c r="I20" i="1"/>
  <c r="Q12" i="3"/>
  <c r="R12" i="3" s="1"/>
  <c r="H12" i="1"/>
  <c r="V21" i="3"/>
  <c r="W21" i="3" s="1"/>
  <c r="I21" i="1"/>
  <c r="V13" i="3"/>
  <c r="W13" i="3" s="1"/>
  <c r="I13" i="1"/>
  <c r="Q10" i="3"/>
  <c r="R10" i="3" s="1"/>
  <c r="H10" i="1"/>
  <c r="F9" i="1"/>
  <c r="L9" i="3"/>
  <c r="M9" i="3" s="1"/>
  <c r="Q5" i="3"/>
  <c r="R5" i="3" s="1"/>
  <c r="H5" i="1"/>
  <c r="P15" i="3"/>
  <c r="P23" i="3"/>
  <c r="K6" i="3"/>
  <c r="K19" i="3"/>
  <c r="V15" i="3"/>
  <c r="W15" i="3" s="1"/>
  <c r="I15" i="1"/>
  <c r="K11" i="3"/>
  <c r="V8" i="3"/>
  <c r="W8" i="3" s="1"/>
  <c r="I8" i="1"/>
  <c r="V5" i="3"/>
  <c r="W5" i="3" s="1"/>
  <c r="I5" i="1"/>
  <c r="G5" i="1"/>
  <c r="Y5" i="3"/>
  <c r="Z5" i="3" s="1"/>
  <c r="Q8" i="3"/>
  <c r="R8" i="3" s="1"/>
  <c r="H8" i="1"/>
  <c r="Y7" i="3"/>
  <c r="Z7" i="3" s="1"/>
  <c r="G7" i="1"/>
  <c r="H4" i="1"/>
  <c r="Q4" i="3"/>
  <c r="R4" i="3" s="1"/>
  <c r="V16" i="3"/>
  <c r="W16" i="3" s="1"/>
  <c r="I16" i="1"/>
  <c r="L18" i="3"/>
  <c r="M18" i="3" s="1"/>
  <c r="F18" i="1"/>
  <c r="Q9" i="3"/>
  <c r="R9" i="3" s="1"/>
  <c r="H9" i="1"/>
  <c r="F5" i="1"/>
  <c r="L5" i="3"/>
  <c r="M5" i="3" s="1"/>
  <c r="Q19" i="3"/>
  <c r="R19" i="3" s="1"/>
  <c r="H19" i="1"/>
  <c r="L15" i="3"/>
  <c r="M15" i="3" s="1"/>
  <c r="F15" i="1"/>
  <c r="V7" i="3"/>
  <c r="W7" i="3" s="1"/>
  <c r="I7" i="1"/>
  <c r="Y20" i="3"/>
  <c r="Z20" i="3" s="1"/>
  <c r="G20" i="1"/>
  <c r="Y16" i="3"/>
  <c r="Z16" i="3" s="1"/>
  <c r="G16" i="1"/>
  <c r="L16" i="3"/>
  <c r="M16" i="3" s="1"/>
  <c r="F16" i="1"/>
  <c r="Y23" i="3"/>
  <c r="Z23" i="3" s="1"/>
  <c r="G23" i="1"/>
  <c r="Y15" i="3"/>
  <c r="Z15" i="3" s="1"/>
  <c r="G15" i="1"/>
  <c r="H7" i="1"/>
  <c r="Q7" i="3"/>
  <c r="R7" i="3" s="1"/>
  <c r="Q21" i="3"/>
  <c r="R21" i="3" s="1"/>
  <c r="H21" i="1"/>
  <c r="L17" i="3"/>
  <c r="M17" i="3" s="1"/>
  <c r="F17" i="1"/>
  <c r="V9" i="3"/>
  <c r="W9" i="3" s="1"/>
  <c r="I9" i="1"/>
  <c r="V4" i="3"/>
  <c r="W4" i="3" s="1"/>
  <c r="I4" i="1"/>
  <c r="Y22" i="3"/>
  <c r="Z22" i="3" s="1"/>
  <c r="G22" i="1"/>
  <c r="Y18" i="3"/>
  <c r="Z18" i="3" s="1"/>
  <c r="G18" i="1"/>
  <c r="Y14" i="3"/>
  <c r="Z14" i="3" s="1"/>
  <c r="G14" i="1"/>
  <c r="V18" i="3"/>
  <c r="W18" i="3" s="1"/>
  <c r="I18" i="1"/>
  <c r="V19" i="3"/>
  <c r="W19" i="3" s="1"/>
  <c r="I19" i="1"/>
  <c r="V12" i="3"/>
  <c r="W12" i="3" s="1"/>
  <c r="I12" i="1"/>
  <c r="P22" i="3"/>
  <c r="P14" i="3"/>
  <c r="F10" i="1"/>
  <c r="L10" i="3"/>
  <c r="M10" i="3" s="1"/>
  <c r="K7" i="3"/>
  <c r="P17" i="3"/>
  <c r="K14" i="3"/>
  <c r="I11" i="1"/>
  <c r="V11" i="3"/>
  <c r="W11" i="3" s="1"/>
  <c r="K13" i="3"/>
  <c r="K21" i="3"/>
  <c r="Y24" i="3"/>
  <c r="Z24" i="3" s="1"/>
  <c r="G24" i="1"/>
  <c r="V23" i="3"/>
  <c r="W23" i="3" s="1"/>
  <c r="I23" i="1"/>
  <c r="I6" i="1"/>
  <c r="V6" i="3"/>
  <c r="W6" i="3" s="1"/>
  <c r="L8" i="3"/>
  <c r="M8" i="3" s="1"/>
  <c r="F8" i="1"/>
  <c r="Q15" i="3" l="1"/>
  <c r="R15" i="3" s="1"/>
  <c r="H15" i="1"/>
  <c r="F21" i="1"/>
  <c r="L21" i="3"/>
  <c r="M21" i="3" s="1"/>
  <c r="L14" i="3"/>
  <c r="M14" i="3" s="1"/>
  <c r="F14" i="1"/>
  <c r="L19" i="3"/>
  <c r="M19" i="3" s="1"/>
  <c r="F19" i="1"/>
  <c r="F13" i="1"/>
  <c r="L13" i="3"/>
  <c r="M13" i="3" s="1"/>
  <c r="Q17" i="3"/>
  <c r="R17" i="3" s="1"/>
  <c r="H17" i="1"/>
  <c r="Q14" i="3"/>
  <c r="R14" i="3" s="1"/>
  <c r="H14" i="1"/>
  <c r="L11" i="3"/>
  <c r="M11" i="3" s="1"/>
  <c r="F11" i="1"/>
  <c r="L6" i="3"/>
  <c r="M6" i="3" s="1"/>
  <c r="F6" i="1"/>
  <c r="L4" i="3"/>
  <c r="M4" i="3" s="1"/>
  <c r="F4" i="1"/>
  <c r="L7" i="3"/>
  <c r="M7" i="3" s="1"/>
  <c r="F7" i="1"/>
  <c r="Q22" i="3"/>
  <c r="R22" i="3" s="1"/>
  <c r="H22" i="1"/>
  <c r="Q23" i="3"/>
  <c r="R23" i="3" s="1"/>
  <c r="H23" i="1"/>
  <c r="L22" i="3"/>
  <c r="M22" i="3" s="1"/>
  <c r="F22" i="1"/>
  <c r="L12" i="3"/>
  <c r="M12" i="3" s="1"/>
  <c r="F12" i="1"/>
</calcChain>
</file>

<file path=xl/sharedStrings.xml><?xml version="1.0" encoding="utf-8"?>
<sst xmlns="http://schemas.openxmlformats.org/spreadsheetml/2006/main" count="123" uniqueCount="102">
  <si>
    <t>Tabela de preços Felinodelia</t>
  </si>
  <si>
    <t>Cod</t>
  </si>
  <si>
    <t>Produto</t>
  </si>
  <si>
    <t>Custo</t>
  </si>
  <si>
    <t>Atacado</t>
  </si>
  <si>
    <t>Varejo</t>
  </si>
  <si>
    <t>mercado livre</t>
  </si>
  <si>
    <t>facebook</t>
  </si>
  <si>
    <t>shoppee</t>
  </si>
  <si>
    <t>tik tok shop</t>
  </si>
  <si>
    <t>Aplicador de Comprimidos</t>
  </si>
  <si>
    <t>Bolinha de Petiscos Peixe</t>
  </si>
  <si>
    <t>Bolinha de Purga</t>
  </si>
  <si>
    <t>Brinquedo Rato médio</t>
  </si>
  <si>
    <t>Brinquedo Rato articulado</t>
  </si>
  <si>
    <t>Chaveiro Clic vaso Gato</t>
  </si>
  <si>
    <t>Chaveiro 4 em 1 (NFC, lata, suporte, chaveiro)</t>
  </si>
  <si>
    <t>Chaveiro abre lata pet</t>
  </si>
  <si>
    <t xml:space="preserve">Chaveiro Gato Soco Ingles </t>
  </si>
  <si>
    <t>Chaveiro Gato Bravo</t>
  </si>
  <si>
    <t>Chaveiro Patinha fofa</t>
  </si>
  <si>
    <t xml:space="preserve">Chaveiro Gato Trevo </t>
  </si>
  <si>
    <t>Chaveiro hello kit</t>
  </si>
  <si>
    <t xml:space="preserve">Molde de sorvete cachorro grande </t>
  </si>
  <si>
    <t>Deslizador Churumi</t>
  </si>
  <si>
    <t>2 Clips de sacola gatinho / dog</t>
  </si>
  <si>
    <t>Molde sorvetinho felino</t>
  </si>
  <si>
    <t>Raspador de Sache</t>
  </si>
  <si>
    <t>Suporte de celular grande</t>
  </si>
  <si>
    <t>Pingente para letras</t>
  </si>
  <si>
    <t>Tampa 75 mm + pingente</t>
  </si>
  <si>
    <t>Tampa de lata Universal</t>
  </si>
  <si>
    <t>Chaveiro Gato dourado da sorte</t>
  </si>
  <si>
    <t>Chaveiro mini suporte celular orelha de gato</t>
  </si>
  <si>
    <t>Parâmetros de precificação – Felinodelia</t>
  </si>
  <si>
    <t>Células em azul com fundo amarelo são editáveis; todo o resto é calculado a partir delas. Taxas pesquisadas em out/2026 – confirme na Central do Vendedor de cada plataforma.</t>
  </si>
  <si>
    <t>GERAL</t>
  </si>
  <si>
    <t>Margem líquida desejada nos marketplaces (sobre o preço de venda)</t>
  </si>
  <si>
    <t>Imposto sobre a venda (Simples ≈ 4%; MEI = 0%)</t>
  </si>
  <si>
    <t>Embalagem por pedido (R$)</t>
  </si>
  <si>
    <t>Arredondar preço p/ final ,90? (1 = sim, 0 = não)</t>
  </si>
  <si>
    <t>Margem líquida desejada no varejo / Facebook (sobre o preço de venda)</t>
  </si>
  <si>
    <t>MERCADO LIVRE (anúncio Clássico)</t>
  </si>
  <si>
    <t>Comissão (Clássico 10–14%; Premium 15–19%, conforme categoria)</t>
  </si>
  <si>
    <t>Outros custos % sobre a venda (ex.: Mercado Ads)</t>
  </si>
  <si>
    <t>Outros custos R$ por pedido (ex.: frete pago pelo vendedor)</t>
  </si>
  <si>
    <t>Faixa de preço</t>
  </si>
  <si>
    <t>De (R$)</t>
  </si>
  <si>
    <t>Até (R$)</t>
  </si>
  <si>
    <t>Comissão %</t>
  </si>
  <si>
    <t>Custo fixo (R$)</t>
  </si>
  <si>
    <t>Custo fixo (% do preço)</t>
  </si>
  <si>
    <t>Abaixo de R$ 12,50</t>
  </si>
  <si>
    <t>R$ 12,50 a 28,99</t>
  </si>
  <si>
    <t>R$ 29,00 a 49,99</t>
  </si>
  <si>
    <t>R$ 50,00 a 78,99</t>
  </si>
  <si>
    <t>R$ 79,00 ou mais</t>
  </si>
  <si>
    <t>SHOPEE</t>
  </si>
  <si>
    <t>Comissão (até R$ 79,99)</t>
  </si>
  <si>
    <t>Outros custos % sobre a venda (ex.: anúncios, cupons)</t>
  </si>
  <si>
    <t>Outros custos R$ por pedido (CPF paga +R$ 3 por item)</t>
  </si>
  <si>
    <t>Abaixo de R$ 8,00</t>
  </si>
  <si>
    <t>R$ 8,00 a 79,99</t>
  </si>
  <si>
    <t>TIKTOK SHOP (regra vigente desde 15/07/2026)</t>
  </si>
  <si>
    <t>Outros custos % sobre a venda (programa de frete: até 6%)</t>
  </si>
  <si>
    <t>Outros custos R$ por pedido</t>
  </si>
  <si>
    <t>Abaixo de R$ 50,00</t>
  </si>
  <si>
    <t>R$ 50,00 ou mais</t>
  </si>
  <si>
    <t>FACEBOOK MARKETPLACE (Brasil: sem comissão da plataforma)</t>
  </si>
  <si>
    <t>Comissão da plataforma</t>
  </si>
  <si>
    <t>Taxa de recebimento (Pix = 0%; link de cartão ≈ 3–5%)</t>
  </si>
  <si>
    <t>FONTES E OBSERVAÇÕES</t>
  </si>
  <si>
    <t>Mercado Livre: comissão 10–14% (Clássico) e 15–19% (Premium) por categoria; abaixo de R$ 79 há custo fixo por unidade (R$ 6,25 / 6,50 / 6,75 por faixa; 50% do preço se &lt; R$ 12,50). Desde mar/2026 o ML migrou parte disso para custo variável por peso/dimensão – use o simulador do ML para confirmar o valor exato dos seus itens. Abaixo de R$ 79 o frete é pago pelo comprador.</t>
  </si>
  <si>
    <t>Shopee: 20% de comissão + R$ 4 por item (50% do preço se item &lt; R$ 8) para preços até R$ 79,99. Vendedor CPF paga +R$ 3 por item (lance em B24).</t>
  </si>
  <si>
    <t>TikTok Shop: desde 15/07/2026, 10% + R$ 4 por item abaixo de R$ 50 e 6% + R$ 6 por item a partir de R$ 50. O programa de frete cobra até 6% do preço (lance em B30).</t>
  </si>
  <si>
    <t>Facebook Marketplace: no Brasil não cobra taxa (pagamento e entrega são combinados direto com o comprador). Se o frete for cobrado do cliente, não entra no preço.</t>
  </si>
  <si>
    <t>Fórmula: Preço = (Custo + Embalagem + Custo fixo em R$) ÷ (1 − Comissão − Imposto − Margem − Custo fixo em % − Outros %). A faixa de custo fixo é escolhida automaticamente pelo preço resultante.</t>
  </si>
  <si>
    <t>Margem = lucro líquido sobre o preço de venda, já descontados custo, embalagem, imposto e taxas da plataforma.</t>
  </si>
  <si>
    <t>Cálculo detalhado por plataforma (não editar – tudo vem da aba Parametros)</t>
  </si>
  <si>
    <t>Custo + embalagem</t>
  </si>
  <si>
    <t>ML faixa 1 (candidato)</t>
  </si>
  <si>
    <t>ML faixa 2 (candidato)</t>
  </si>
  <si>
    <t>ML faixa 3 (candidato)</t>
  </si>
  <si>
    <t>ML faixa 4 (candidato)</t>
  </si>
  <si>
    <t>ML faixa 5 (candidato)</t>
  </si>
  <si>
    <t>Mercado Livre – preço</t>
  </si>
  <si>
    <t>ML – lucro (R$)</t>
  </si>
  <si>
    <t>ML – margem</t>
  </si>
  <si>
    <t>Shopee faixa 1</t>
  </si>
  <si>
    <t>Shopee faixa 2</t>
  </si>
  <si>
    <t>Shopee – preço</t>
  </si>
  <si>
    <t>Shopee – lucro (R$)</t>
  </si>
  <si>
    <t>Shopee – margem</t>
  </si>
  <si>
    <t>TikTok faixa 1</t>
  </si>
  <si>
    <t>TikTok faixa 2</t>
  </si>
  <si>
    <t>TikTok – preço</t>
  </si>
  <si>
    <t>TikTok – lucro (R$)</t>
  </si>
  <si>
    <t>TikTok – margem</t>
  </si>
  <si>
    <t>Facebook – preço</t>
  </si>
  <si>
    <t>Facebook – lucro (R$)</t>
  </si>
  <si>
    <t>Facebook – margem</t>
  </si>
  <si>
    <t>Porta chaves Gatinho Minimalista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</si>
</sst>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R$ &quot;#,##0.00"/>
  </numFmts>
  <fonts count="7" x14ac:knownFonts="1">
    <font>
      <sz val="11"/>
      <color theme="1"/>
      <name val="Calibri"/>
      <family val="2"/>
      <charset val="1"/>
    </font>
    <font>
      <i/>
      <sz val="11"/>
      <name val="Calibri"/>
      <charset val="1"/>
    </font>
    <font>
      <b/>
      <sz val="14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FF"/>
      <name val="Calibri"/>
      <charset val="1"/>
    </font>
    <font>
      <b/>
      <sz val="12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2" fontId="0" fillId="0" borderId="0" xfId="0" applyNumberForma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0" fillId="2" borderId="0" xfId="0" applyFill="1" applyAlignment="1"/>
    <xf numFmtId="0" fontId="4" fillId="0" borderId="0" xfId="0" applyFont="1" applyAlignment="1"/>
    <xf numFmtId="164" fontId="5" fillId="3" borderId="0" xfId="0" applyNumberFormat="1" applyFont="1" applyFill="1" applyAlignment="1"/>
    <xf numFmtId="165" fontId="5" fillId="3" borderId="0" xfId="0" applyNumberFormat="1" applyFont="1" applyFill="1" applyAlignment="1"/>
    <xf numFmtId="1" fontId="5" fillId="3" borderId="0" xfId="0" applyNumberFormat="1" applyFont="1" applyFill="1" applyAlignment="1"/>
    <xf numFmtId="0" fontId="4" fillId="0" borderId="0" xfId="0" applyFont="1"/>
    <xf numFmtId="164" fontId="5" fillId="3" borderId="0" xfId="0" applyNumberFormat="1" applyFont="1" applyFill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64" fontId="4" fillId="0" borderId="0" xfId="0" applyNumberFormat="1" applyFont="1" applyAlignment="1"/>
    <xf numFmtId="0" fontId="6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165" fontId="4" fillId="0" borderId="0" xfId="0" applyNumberFormat="1" applyFont="1" applyAlignment="1"/>
    <xf numFmtId="165" fontId="3" fillId="0" borderId="0" xfId="0" applyNumberFormat="1" applyFont="1" applyAlignment="1"/>
    <xf numFmtId="0" fontId="4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Normal="100" workbookViewId="0">
      <selection activeCell="A28" sqref="A28:C28"/>
    </sheetView>
  </sheetViews>
  <sheetFormatPr defaultColWidth="8.6640625" defaultRowHeight="14.4" x14ac:dyDescent="0.3"/>
  <cols>
    <col min="1" max="1" width="4" style="1" customWidth="1"/>
    <col min="2" max="2" width="33.33203125" style="1" customWidth="1"/>
    <col min="3" max="3" width="5.6640625" style="1" customWidth="1"/>
    <col min="4" max="4" width="7.77734375" style="1" customWidth="1"/>
    <col min="5" max="5" width="8" style="1" customWidth="1"/>
    <col min="6" max="6" width="13" style="1" customWidth="1"/>
    <col min="7" max="8" width="9" style="1" customWidth="1"/>
    <col min="9" max="9" width="10.44140625" style="1" customWidth="1"/>
  </cols>
  <sheetData>
    <row r="1" spans="1:9" ht="14.25" customHeight="1" x14ac:dyDescent="0.3">
      <c r="A1" s="1" t="s">
        <v>0</v>
      </c>
    </row>
    <row r="3" spans="1:9" ht="14.2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4.25" customHeight="1" x14ac:dyDescent="0.3">
      <c r="A4" s="1">
        <v>1</v>
      </c>
      <c r="B4" s="1" t="s">
        <v>10</v>
      </c>
      <c r="C4" s="1">
        <v>3.07</v>
      </c>
      <c r="D4" s="1">
        <v>5.14</v>
      </c>
      <c r="E4" s="2">
        <f>Calculos!E4</f>
        <v>8.9</v>
      </c>
      <c r="F4" s="2">
        <f>Calculos!K4</f>
        <v>16.899999999999999</v>
      </c>
      <c r="G4" s="2">
        <f>Calculos!X4</f>
        <v>8.9</v>
      </c>
      <c r="H4" s="2">
        <f>Calculos!P4</f>
        <v>14.9</v>
      </c>
      <c r="I4" s="2">
        <f>Calculos!U4</f>
        <v>12.9</v>
      </c>
    </row>
    <row r="5" spans="1:9" ht="14.25" customHeight="1" x14ac:dyDescent="0.3">
      <c r="A5" s="1">
        <v>2</v>
      </c>
      <c r="B5" s="1" t="s">
        <v>11</v>
      </c>
      <c r="C5" s="1">
        <v>3.06</v>
      </c>
      <c r="D5" s="1">
        <v>5.1100000000000003</v>
      </c>
      <c r="E5" s="2">
        <f>Calculos!E5</f>
        <v>8.9</v>
      </c>
      <c r="F5" s="2">
        <f>Calculos!K5</f>
        <v>16.899999999999999</v>
      </c>
      <c r="G5" s="2">
        <f>Calculos!X5</f>
        <v>8.9</v>
      </c>
      <c r="H5" s="2">
        <f>Calculos!P5</f>
        <v>14.9</v>
      </c>
      <c r="I5" s="2">
        <f>Calculos!U5</f>
        <v>12.9</v>
      </c>
    </row>
    <row r="6" spans="1:9" ht="14.25" customHeight="1" x14ac:dyDescent="0.3">
      <c r="A6" s="1">
        <v>3</v>
      </c>
      <c r="B6" s="1" t="s">
        <v>12</v>
      </c>
      <c r="C6" s="1">
        <v>3.47</v>
      </c>
      <c r="D6" s="1">
        <v>5.94</v>
      </c>
      <c r="E6" s="2">
        <f>Calculos!E6</f>
        <v>9.9</v>
      </c>
      <c r="F6" s="2">
        <f>Calculos!K6</f>
        <v>17.899999999999999</v>
      </c>
      <c r="G6" s="2">
        <f>Calculos!X6</f>
        <v>9.9</v>
      </c>
      <c r="H6" s="2">
        <f>Calculos!P6</f>
        <v>15.9</v>
      </c>
      <c r="I6" s="2">
        <f>Calculos!U6</f>
        <v>12.9</v>
      </c>
    </row>
    <row r="7" spans="1:9" ht="14.25" customHeight="1" x14ac:dyDescent="0.3">
      <c r="A7" s="1">
        <v>4</v>
      </c>
      <c r="B7" s="1" t="s">
        <v>13</v>
      </c>
      <c r="C7" s="1">
        <v>2.4900000000000002</v>
      </c>
      <c r="D7" s="1">
        <v>3.98</v>
      </c>
      <c r="E7" s="2">
        <f>Calculos!E7</f>
        <v>7.9</v>
      </c>
      <c r="F7" s="2">
        <f>Calculos!K7</f>
        <v>15.9</v>
      </c>
      <c r="G7" s="2">
        <f>Calculos!X7</f>
        <v>7.9</v>
      </c>
      <c r="H7" s="2">
        <f>Calculos!P7</f>
        <v>13.9</v>
      </c>
      <c r="I7" s="2">
        <f>Calculos!U7</f>
        <v>11.9</v>
      </c>
    </row>
    <row r="8" spans="1:9" ht="14.25" customHeight="1" x14ac:dyDescent="0.3">
      <c r="A8" s="1">
        <v>5</v>
      </c>
      <c r="B8" s="1" t="s">
        <v>14</v>
      </c>
      <c r="C8" s="1">
        <v>2.81</v>
      </c>
      <c r="D8" s="1">
        <v>4.63</v>
      </c>
      <c r="E8" s="2">
        <f>Calculos!E8</f>
        <v>8.9</v>
      </c>
      <c r="F8" s="2">
        <f>Calculos!K8</f>
        <v>16.899999999999999</v>
      </c>
      <c r="G8" s="2">
        <f>Calculos!X8</f>
        <v>8.9</v>
      </c>
      <c r="H8" s="2">
        <f>Calculos!P8</f>
        <v>14.9</v>
      </c>
      <c r="I8" s="2">
        <f>Calculos!U8</f>
        <v>11.9</v>
      </c>
    </row>
    <row r="9" spans="1:9" ht="14.25" customHeight="1" x14ac:dyDescent="0.3">
      <c r="A9" s="1">
        <v>6</v>
      </c>
      <c r="B9" s="1" t="s">
        <v>15</v>
      </c>
      <c r="C9" s="1">
        <v>4.7300000000000004</v>
      </c>
      <c r="D9" s="1">
        <v>6.97</v>
      </c>
      <c r="E9" s="2">
        <f>Calculos!E9</f>
        <v>12.9</v>
      </c>
      <c r="F9" s="2">
        <f>Calculos!K9</f>
        <v>19.899999999999999</v>
      </c>
      <c r="G9" s="2">
        <f>Calculos!X9</f>
        <v>12.9</v>
      </c>
      <c r="H9" s="2">
        <f>Calculos!P9</f>
        <v>17.899999999999999</v>
      </c>
      <c r="I9" s="2">
        <f>Calculos!U9</f>
        <v>14.9</v>
      </c>
    </row>
    <row r="10" spans="1:9" ht="14.25" customHeight="1" x14ac:dyDescent="0.3">
      <c r="A10" s="1">
        <v>7</v>
      </c>
      <c r="B10" s="1" t="s">
        <v>16</v>
      </c>
      <c r="C10" s="1">
        <v>5.6</v>
      </c>
      <c r="D10" s="1">
        <v>8.6999999999999993</v>
      </c>
      <c r="E10" s="2">
        <f>Calculos!E10</f>
        <v>14.9</v>
      </c>
      <c r="F10" s="2">
        <f>Calculos!K10</f>
        <v>20.9</v>
      </c>
      <c r="G10" s="2">
        <f>Calculos!X10</f>
        <v>14.9</v>
      </c>
      <c r="H10" s="2">
        <f>Calculos!P10</f>
        <v>19.899999999999999</v>
      </c>
      <c r="I10" s="2">
        <f>Calculos!U10</f>
        <v>16.899999999999999</v>
      </c>
    </row>
    <row r="11" spans="1:9" ht="14.25" customHeight="1" x14ac:dyDescent="0.3">
      <c r="A11" s="1">
        <v>8</v>
      </c>
      <c r="B11" s="1" t="s">
        <v>17</v>
      </c>
      <c r="C11" s="1">
        <v>2.76</v>
      </c>
      <c r="D11" s="1">
        <v>4.03</v>
      </c>
      <c r="E11" s="2">
        <f>Calculos!E11</f>
        <v>8.9</v>
      </c>
      <c r="F11" s="2">
        <f>Calculos!K11</f>
        <v>16.899999999999999</v>
      </c>
      <c r="G11" s="2">
        <f>Calculos!X11</f>
        <v>8.9</v>
      </c>
      <c r="H11" s="2">
        <f>Calculos!P11</f>
        <v>13.9</v>
      </c>
      <c r="I11" s="2">
        <f>Calculos!U11</f>
        <v>11.9</v>
      </c>
    </row>
    <row r="12" spans="1:9" ht="14.25" customHeight="1" x14ac:dyDescent="0.3">
      <c r="A12" s="1">
        <v>9</v>
      </c>
      <c r="B12" s="1" t="s">
        <v>18</v>
      </c>
      <c r="C12" s="1">
        <v>3.12</v>
      </c>
      <c r="D12" s="1">
        <v>4.74</v>
      </c>
      <c r="E12" s="2">
        <f>Calculos!E12</f>
        <v>9.9</v>
      </c>
      <c r="F12" s="2">
        <f>Calculos!K12</f>
        <v>16.899999999999999</v>
      </c>
      <c r="G12" s="2">
        <f>Calculos!X12</f>
        <v>9.9</v>
      </c>
      <c r="H12" s="2">
        <f>Calculos!P12</f>
        <v>14.9</v>
      </c>
      <c r="I12" s="2">
        <f>Calculos!U12</f>
        <v>12.9</v>
      </c>
    </row>
    <row r="13" spans="1:9" ht="14.25" customHeight="1" x14ac:dyDescent="0.3">
      <c r="A13" s="1">
        <v>10</v>
      </c>
      <c r="B13" s="1" t="s">
        <v>19</v>
      </c>
      <c r="C13" s="1">
        <v>2.4900000000000002</v>
      </c>
      <c r="D13" s="1">
        <v>3.48</v>
      </c>
      <c r="E13" s="2">
        <f>Calculos!E13</f>
        <v>7.9</v>
      </c>
      <c r="F13" s="2">
        <f>Calculos!K13</f>
        <v>15.9</v>
      </c>
      <c r="G13" s="2">
        <f>Calculos!X13</f>
        <v>7.9</v>
      </c>
      <c r="H13" s="2">
        <f>Calculos!P13</f>
        <v>13.9</v>
      </c>
      <c r="I13" s="2">
        <f>Calculos!U13</f>
        <v>11.9</v>
      </c>
    </row>
    <row r="14" spans="1:9" ht="14.25" customHeight="1" x14ac:dyDescent="0.3">
      <c r="A14" s="1">
        <v>11</v>
      </c>
      <c r="B14" s="1" t="s">
        <v>20</v>
      </c>
      <c r="C14" s="1">
        <v>2.59</v>
      </c>
      <c r="D14" s="1">
        <v>3.68</v>
      </c>
      <c r="E14" s="2">
        <f>Calculos!E14</f>
        <v>7.9</v>
      </c>
      <c r="F14" s="2">
        <f>Calculos!K14</f>
        <v>15.9</v>
      </c>
      <c r="G14" s="2">
        <f>Calculos!X14</f>
        <v>7.9</v>
      </c>
      <c r="H14" s="2">
        <f>Calculos!P14</f>
        <v>13.9</v>
      </c>
      <c r="I14" s="2">
        <f>Calculos!U14</f>
        <v>11.9</v>
      </c>
    </row>
    <row r="15" spans="1:9" ht="14.25" customHeight="1" x14ac:dyDescent="0.3">
      <c r="A15" s="1">
        <v>12</v>
      </c>
      <c r="B15" s="1" t="s">
        <v>21</v>
      </c>
      <c r="C15" s="1">
        <v>3.09</v>
      </c>
      <c r="D15" s="1">
        <v>4.67</v>
      </c>
      <c r="E15" s="2">
        <f>Calculos!E15</f>
        <v>8.9</v>
      </c>
      <c r="F15" s="2">
        <f>Calculos!K15</f>
        <v>16.899999999999999</v>
      </c>
      <c r="G15" s="2">
        <f>Calculos!X15</f>
        <v>8.9</v>
      </c>
      <c r="H15" s="2">
        <f>Calculos!P15</f>
        <v>14.9</v>
      </c>
      <c r="I15" s="2">
        <f>Calculos!U15</f>
        <v>12.9</v>
      </c>
    </row>
    <row r="16" spans="1:9" ht="14.25" customHeight="1" x14ac:dyDescent="0.3">
      <c r="A16" s="1">
        <v>13</v>
      </c>
      <c r="B16" s="1" t="s">
        <v>22</v>
      </c>
      <c r="C16" s="1">
        <v>2.27</v>
      </c>
      <c r="D16" s="1">
        <v>3.05</v>
      </c>
      <c r="E16" s="2">
        <f>Calculos!E16</f>
        <v>7.9</v>
      </c>
      <c r="F16" s="2">
        <f>Calculos!K16</f>
        <v>15.9</v>
      </c>
      <c r="G16" s="2">
        <f>Calculos!X16</f>
        <v>7.9</v>
      </c>
      <c r="H16" s="2">
        <f>Calculos!P16</f>
        <v>13.9</v>
      </c>
      <c r="I16" s="2">
        <f>Calculos!U16</f>
        <v>11.9</v>
      </c>
    </row>
    <row r="17" spans="1:9" ht="14.25" customHeight="1" x14ac:dyDescent="0.3">
      <c r="A17" s="1">
        <v>14</v>
      </c>
      <c r="B17" s="1" t="s">
        <v>23</v>
      </c>
      <c r="C17" s="1">
        <v>6.34</v>
      </c>
      <c r="D17" s="1">
        <v>11.68</v>
      </c>
      <c r="E17" s="2">
        <f>Calculos!E17</f>
        <v>16.899999999999999</v>
      </c>
      <c r="F17" s="2">
        <f>Calculos!K17</f>
        <v>22.9</v>
      </c>
      <c r="G17" s="2">
        <f>Calculos!X17</f>
        <v>16.899999999999999</v>
      </c>
      <c r="H17" s="2">
        <f>Calculos!P17</f>
        <v>20.9</v>
      </c>
      <c r="I17" s="2">
        <f>Calculos!U17</f>
        <v>17.899999999999999</v>
      </c>
    </row>
    <row r="18" spans="1:9" ht="14.25" customHeight="1" x14ac:dyDescent="0.3">
      <c r="A18" s="1">
        <v>15</v>
      </c>
      <c r="B18" s="1" t="s">
        <v>24</v>
      </c>
      <c r="C18" s="1">
        <v>2.1</v>
      </c>
      <c r="D18" s="1">
        <v>3.19</v>
      </c>
      <c r="E18" s="2">
        <f>Calculos!E18</f>
        <v>6.9</v>
      </c>
      <c r="F18" s="2">
        <f>Calculos!K18</f>
        <v>15.9</v>
      </c>
      <c r="G18" s="2">
        <f>Calculos!X18</f>
        <v>6.9</v>
      </c>
      <c r="H18" s="2">
        <f>Calculos!P18</f>
        <v>12.9</v>
      </c>
      <c r="I18" s="2">
        <f>Calculos!U18</f>
        <v>10.9</v>
      </c>
    </row>
    <row r="19" spans="1:9" ht="14.25" customHeight="1" x14ac:dyDescent="0.3">
      <c r="A19" s="1">
        <v>16</v>
      </c>
      <c r="B19" s="1" t="s">
        <v>25</v>
      </c>
      <c r="C19" s="1">
        <v>2.89</v>
      </c>
      <c r="D19" s="1">
        <v>4.78</v>
      </c>
      <c r="E19" s="2">
        <f>Calculos!E19</f>
        <v>8.9</v>
      </c>
      <c r="F19" s="2">
        <f>Calculos!K19</f>
        <v>16.899999999999999</v>
      </c>
      <c r="G19" s="2">
        <f>Calculos!X19</f>
        <v>8.9</v>
      </c>
      <c r="H19" s="2">
        <f>Calculos!P19</f>
        <v>14.9</v>
      </c>
      <c r="I19" s="2">
        <f>Calculos!U19</f>
        <v>12.9</v>
      </c>
    </row>
    <row r="20" spans="1:9" ht="14.25" customHeight="1" x14ac:dyDescent="0.3">
      <c r="A20" s="1">
        <v>17</v>
      </c>
      <c r="B20" s="1" t="s">
        <v>26</v>
      </c>
      <c r="C20" s="1">
        <v>2.92</v>
      </c>
      <c r="D20" s="1">
        <v>4.84</v>
      </c>
      <c r="E20" s="2">
        <f>Calculos!E20</f>
        <v>8.9</v>
      </c>
      <c r="F20" s="2">
        <f>Calculos!K20</f>
        <v>16.899999999999999</v>
      </c>
      <c r="G20" s="2">
        <f>Calculos!X20</f>
        <v>8.9</v>
      </c>
      <c r="H20" s="2">
        <f>Calculos!P20</f>
        <v>14.9</v>
      </c>
      <c r="I20" s="2">
        <f>Calculos!U20</f>
        <v>12.9</v>
      </c>
    </row>
    <row r="21" spans="1:9" ht="14.25" customHeight="1" x14ac:dyDescent="0.3">
      <c r="A21" s="1">
        <v>18</v>
      </c>
      <c r="B21" s="1" t="s">
        <v>27</v>
      </c>
      <c r="C21" s="1">
        <v>3.86</v>
      </c>
      <c r="D21" s="1">
        <v>6.73</v>
      </c>
      <c r="E21" s="2">
        <f>Calculos!E21</f>
        <v>10.9</v>
      </c>
      <c r="F21" s="2">
        <f>Calculos!K21</f>
        <v>18.899999999999999</v>
      </c>
      <c r="G21" s="2">
        <f>Calculos!X21</f>
        <v>10.9</v>
      </c>
      <c r="H21" s="2">
        <f>Calculos!P21</f>
        <v>15.9</v>
      </c>
      <c r="I21" s="2">
        <f>Calculos!U21</f>
        <v>13.9</v>
      </c>
    </row>
    <row r="22" spans="1:9" ht="14.25" customHeight="1" x14ac:dyDescent="0.3">
      <c r="A22" s="1">
        <v>19</v>
      </c>
      <c r="B22" s="1" t="s">
        <v>28</v>
      </c>
      <c r="C22" s="1">
        <v>6.71</v>
      </c>
      <c r="D22" s="1">
        <v>12.42</v>
      </c>
      <c r="E22" s="2">
        <f>Calculos!E22</f>
        <v>16.899999999999999</v>
      </c>
      <c r="F22" s="2">
        <f>Calculos!K22</f>
        <v>22.9</v>
      </c>
      <c r="G22" s="2">
        <f>Calculos!X22</f>
        <v>16.899999999999999</v>
      </c>
      <c r="H22" s="2">
        <f>Calculos!P22</f>
        <v>21.9</v>
      </c>
      <c r="I22" s="2">
        <f>Calculos!U22</f>
        <v>17.899999999999999</v>
      </c>
    </row>
    <row r="23" spans="1:9" ht="14.25" customHeight="1" x14ac:dyDescent="0.3">
      <c r="A23" s="1">
        <v>20</v>
      </c>
      <c r="B23" s="1" t="s">
        <v>29</v>
      </c>
      <c r="C23" s="1">
        <v>2.2000000000000002</v>
      </c>
      <c r="D23" s="1">
        <v>2.9</v>
      </c>
      <c r="E23" s="2">
        <f>Calculos!E23</f>
        <v>7.9</v>
      </c>
      <c r="F23" s="2">
        <f>Calculos!K23</f>
        <v>15.9</v>
      </c>
      <c r="G23" s="2">
        <f>Calculos!X23</f>
        <v>7.9</v>
      </c>
      <c r="H23" s="2">
        <f>Calculos!P23</f>
        <v>12.9</v>
      </c>
      <c r="I23" s="2">
        <f>Calculos!U23</f>
        <v>11.9</v>
      </c>
    </row>
    <row r="24" spans="1:9" ht="14.25" customHeight="1" x14ac:dyDescent="0.3">
      <c r="A24" s="1">
        <v>21</v>
      </c>
      <c r="B24" s="1" t="s">
        <v>30</v>
      </c>
      <c r="C24" s="1">
        <v>3.32</v>
      </c>
      <c r="D24" s="1">
        <v>5.14</v>
      </c>
      <c r="E24" s="2">
        <f>Calculos!E24</f>
        <v>9.9</v>
      </c>
      <c r="F24" s="2">
        <f>Calculos!K24</f>
        <v>17.899999999999999</v>
      </c>
      <c r="G24" s="2">
        <f>Calculos!X24</f>
        <v>9.9</v>
      </c>
      <c r="H24" s="2">
        <f>Calculos!P24</f>
        <v>14.9</v>
      </c>
      <c r="I24" s="2">
        <f>Calculos!U24</f>
        <v>12.9</v>
      </c>
    </row>
    <row r="25" spans="1:9" ht="14.25" customHeight="1" x14ac:dyDescent="0.3">
      <c r="A25" s="1">
        <v>22</v>
      </c>
      <c r="B25" s="1" t="s">
        <v>31</v>
      </c>
      <c r="C25" s="1">
        <v>4.26</v>
      </c>
      <c r="D25" s="1">
        <v>7.52</v>
      </c>
      <c r="E25" s="2">
        <f>Calculos!E25</f>
        <v>16.899999999999999</v>
      </c>
      <c r="F25" s="2">
        <f>Calculos!K25</f>
        <v>22.9</v>
      </c>
      <c r="G25" s="2">
        <f>Calculos!X25</f>
        <v>16.899999999999999</v>
      </c>
      <c r="H25" s="2">
        <f>Calculos!P25</f>
        <v>20.9</v>
      </c>
      <c r="I25" s="2">
        <f>Calculos!U25</f>
        <v>17.899999999999999</v>
      </c>
    </row>
    <row r="26" spans="1:9" ht="14.25" customHeight="1" x14ac:dyDescent="0.3">
      <c r="A26" s="3">
        <v>23</v>
      </c>
      <c r="B26" s="1" t="s">
        <v>32</v>
      </c>
      <c r="C26" s="1">
        <v>2.75</v>
      </c>
      <c r="D26" s="1">
        <v>4.5</v>
      </c>
      <c r="E26" s="2">
        <f>Calculos!E26</f>
        <v>9.9</v>
      </c>
      <c r="F26" s="2">
        <f>Calculos!K26</f>
        <v>17.899999999999999</v>
      </c>
      <c r="G26" s="2">
        <f>Calculos!X26</f>
        <v>9.9</v>
      </c>
      <c r="H26" s="2">
        <f>Calculos!P26</f>
        <v>15.9</v>
      </c>
      <c r="I26" s="2">
        <f>Calculos!U26</f>
        <v>12.9</v>
      </c>
    </row>
    <row r="27" spans="1:9" ht="14.25" customHeight="1" x14ac:dyDescent="0.3">
      <c r="A27" s="1">
        <v>24</v>
      </c>
      <c r="B27" s="1" t="s">
        <v>33</v>
      </c>
      <c r="C27" s="1">
        <v>3.58</v>
      </c>
      <c r="D27" s="1">
        <v>5.66</v>
      </c>
      <c r="E27" s="2">
        <f>Calculos!E27</f>
        <v>12.9</v>
      </c>
      <c r="F27" s="2">
        <f>Calculos!K27</f>
        <v>19.899999999999999</v>
      </c>
      <c r="G27" s="2">
        <f>Calculos!X27</f>
        <v>12.9</v>
      </c>
      <c r="H27" s="2">
        <f>Calculos!P27</f>
        <v>17.899999999999999</v>
      </c>
      <c r="I27" s="2">
        <f>Calculos!U27</f>
        <v>14.9</v>
      </c>
    </row>
    <row r="28" spans="1:9" x14ac:dyDescent="0.3">
      <c r="A28" s="1">
        <v>25</v>
      </c>
      <c r="B28" s="1" t="s">
        <v>101</v>
      </c>
      <c r="C28" s="1">
        <v>3.98</v>
      </c>
      <c r="D28" s="1">
        <v>7.27</v>
      </c>
      <c r="E28" s="2">
        <f>Calculos!E28</f>
        <v>15.9</v>
      </c>
      <c r="F28" s="2">
        <f>Calculos!K28</f>
        <v>21.9</v>
      </c>
      <c r="G28" s="2">
        <f>Calculos!X28</f>
        <v>15.9</v>
      </c>
      <c r="H28" s="2">
        <f>Calculos!P28</f>
        <v>20.9</v>
      </c>
      <c r="I28" s="2">
        <f>Calculos!U28</f>
        <v>17.899999999999999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34" zoomScaleNormal="100" workbookViewId="0"/>
  </sheetViews>
  <sheetFormatPr defaultColWidth="8.6640625" defaultRowHeight="14.4" x14ac:dyDescent="0.3"/>
  <cols>
    <col min="1" max="1" width="62" style="1" customWidth="1"/>
    <col min="2" max="6" width="15" style="1" customWidth="1"/>
  </cols>
  <sheetData>
    <row r="1" spans="1:6" ht="17.25" customHeight="1" x14ac:dyDescent="0.35">
      <c r="A1" s="4" t="s">
        <v>34</v>
      </c>
    </row>
    <row r="2" spans="1:6" ht="30" customHeight="1" x14ac:dyDescent="0.3">
      <c r="A2" s="21" t="s">
        <v>35</v>
      </c>
      <c r="B2" s="21"/>
      <c r="C2" s="21"/>
      <c r="D2" s="21"/>
      <c r="E2" s="21"/>
      <c r="F2" s="21"/>
    </row>
    <row r="4" spans="1:6" ht="15" customHeight="1" x14ac:dyDescent="0.3">
      <c r="A4" s="5" t="s">
        <v>36</v>
      </c>
      <c r="B4" s="6"/>
      <c r="C4" s="6"/>
      <c r="D4" s="6"/>
      <c r="E4" s="6"/>
      <c r="F4" s="6"/>
    </row>
    <row r="5" spans="1:6" ht="15" customHeight="1" x14ac:dyDescent="0.3">
      <c r="A5" s="7" t="s">
        <v>37</v>
      </c>
      <c r="B5" s="8">
        <v>0.2</v>
      </c>
    </row>
    <row r="6" spans="1:6" ht="15" customHeight="1" x14ac:dyDescent="0.3">
      <c r="A6" s="7" t="s">
        <v>38</v>
      </c>
      <c r="B6" s="8">
        <v>0.04</v>
      </c>
    </row>
    <row r="7" spans="1:6" ht="15" customHeight="1" x14ac:dyDescent="0.3">
      <c r="A7" s="7" t="s">
        <v>39</v>
      </c>
      <c r="B7" s="9">
        <v>1</v>
      </c>
    </row>
    <row r="8" spans="1:6" ht="15" customHeight="1" x14ac:dyDescent="0.3">
      <c r="A8" s="7" t="s">
        <v>40</v>
      </c>
      <c r="B8" s="10">
        <v>1</v>
      </c>
    </row>
    <row r="9" spans="1:6" x14ac:dyDescent="0.3">
      <c r="A9" s="11" t="s">
        <v>41</v>
      </c>
      <c r="B9" s="12">
        <v>0.5</v>
      </c>
    </row>
    <row r="10" spans="1:6" ht="15" customHeight="1" x14ac:dyDescent="0.3">
      <c r="A10" s="5" t="s">
        <v>42</v>
      </c>
      <c r="B10" s="6"/>
      <c r="C10" s="6"/>
      <c r="D10" s="6"/>
      <c r="E10" s="6"/>
      <c r="F10" s="6"/>
    </row>
    <row r="11" spans="1:6" ht="15" customHeight="1" x14ac:dyDescent="0.3">
      <c r="A11" s="7" t="s">
        <v>43</v>
      </c>
      <c r="B11" s="8">
        <v>0.14000000000000001</v>
      </c>
    </row>
    <row r="12" spans="1:6" ht="15" customHeight="1" x14ac:dyDescent="0.3">
      <c r="A12" s="7" t="s">
        <v>44</v>
      </c>
      <c r="B12" s="8">
        <v>0</v>
      </c>
    </row>
    <row r="13" spans="1:6" ht="15" customHeight="1" x14ac:dyDescent="0.3">
      <c r="A13" s="7" t="s">
        <v>45</v>
      </c>
      <c r="B13" s="9">
        <v>0</v>
      </c>
    </row>
    <row r="14" spans="1:6" ht="31.5" customHeight="1" x14ac:dyDescent="0.3">
      <c r="A14" s="13" t="s">
        <v>46</v>
      </c>
      <c r="B14" s="14" t="s">
        <v>47</v>
      </c>
      <c r="C14" s="14" t="s">
        <v>48</v>
      </c>
      <c r="D14" s="14" t="s">
        <v>49</v>
      </c>
      <c r="E14" s="14" t="s">
        <v>50</v>
      </c>
      <c r="F14" s="14" t="s">
        <v>51</v>
      </c>
    </row>
    <row r="15" spans="1:6" ht="15" customHeight="1" x14ac:dyDescent="0.3">
      <c r="A15" s="7" t="s">
        <v>52</v>
      </c>
      <c r="B15" s="9">
        <v>0</v>
      </c>
      <c r="C15" s="9">
        <v>12.5</v>
      </c>
      <c r="D15" s="15">
        <f>$B$11</f>
        <v>0.14000000000000001</v>
      </c>
      <c r="E15" s="9">
        <v>0</v>
      </c>
      <c r="F15" s="8">
        <v>0.5</v>
      </c>
    </row>
    <row r="16" spans="1:6" ht="15" customHeight="1" x14ac:dyDescent="0.3">
      <c r="A16" s="7" t="s">
        <v>53</v>
      </c>
      <c r="B16" s="9">
        <v>12.5</v>
      </c>
      <c r="C16" s="9">
        <v>29</v>
      </c>
      <c r="D16" s="15">
        <f>$B$11</f>
        <v>0.14000000000000001</v>
      </c>
      <c r="E16" s="9">
        <v>6.25</v>
      </c>
      <c r="F16" s="8">
        <v>0</v>
      </c>
    </row>
    <row r="17" spans="1:6" ht="15" customHeight="1" x14ac:dyDescent="0.3">
      <c r="A17" s="7" t="s">
        <v>54</v>
      </c>
      <c r="B17" s="9">
        <v>29</v>
      </c>
      <c r="C17" s="9">
        <v>50</v>
      </c>
      <c r="D17" s="15">
        <f>$B$11</f>
        <v>0.14000000000000001</v>
      </c>
      <c r="E17" s="9">
        <v>6.5</v>
      </c>
      <c r="F17" s="8">
        <v>0</v>
      </c>
    </row>
    <row r="18" spans="1:6" ht="15" customHeight="1" x14ac:dyDescent="0.3">
      <c r="A18" s="7" t="s">
        <v>55</v>
      </c>
      <c r="B18" s="9">
        <v>50</v>
      </c>
      <c r="C18" s="9">
        <v>79</v>
      </c>
      <c r="D18" s="15">
        <f>$B$11</f>
        <v>0.14000000000000001</v>
      </c>
      <c r="E18" s="9">
        <v>6.75</v>
      </c>
      <c r="F18" s="8">
        <v>0</v>
      </c>
    </row>
    <row r="19" spans="1:6" ht="15" customHeight="1" x14ac:dyDescent="0.3">
      <c r="A19" s="7" t="s">
        <v>56</v>
      </c>
      <c r="B19" s="9">
        <v>79</v>
      </c>
      <c r="C19" s="9">
        <v>999999</v>
      </c>
      <c r="D19" s="15">
        <f>$B$11</f>
        <v>0.14000000000000001</v>
      </c>
      <c r="E19" s="9">
        <v>0</v>
      </c>
      <c r="F19" s="8">
        <v>0</v>
      </c>
    </row>
    <row r="21" spans="1:6" ht="15" customHeight="1" x14ac:dyDescent="0.3">
      <c r="A21" s="5" t="s">
        <v>57</v>
      </c>
      <c r="B21" s="6"/>
      <c r="C21" s="6"/>
      <c r="D21" s="6"/>
      <c r="E21" s="6"/>
      <c r="F21" s="6"/>
    </row>
    <row r="22" spans="1:6" ht="15" customHeight="1" x14ac:dyDescent="0.3">
      <c r="A22" s="7" t="s">
        <v>58</v>
      </c>
      <c r="B22" s="8">
        <v>0.2</v>
      </c>
    </row>
    <row r="23" spans="1:6" ht="15" customHeight="1" x14ac:dyDescent="0.3">
      <c r="A23" s="7" t="s">
        <v>59</v>
      </c>
      <c r="B23" s="8">
        <v>0</v>
      </c>
    </row>
    <row r="24" spans="1:6" ht="15" customHeight="1" x14ac:dyDescent="0.3">
      <c r="A24" s="7" t="s">
        <v>60</v>
      </c>
      <c r="B24" s="9">
        <v>0</v>
      </c>
    </row>
    <row r="25" spans="1:6" ht="31.5" customHeight="1" x14ac:dyDescent="0.3">
      <c r="A25" s="13" t="s">
        <v>46</v>
      </c>
      <c r="B25" s="14" t="s">
        <v>47</v>
      </c>
      <c r="C25" s="14" t="s">
        <v>48</v>
      </c>
      <c r="D25" s="14" t="s">
        <v>49</v>
      </c>
      <c r="E25" s="14" t="s">
        <v>50</v>
      </c>
      <c r="F25" s="14" t="s">
        <v>51</v>
      </c>
    </row>
    <row r="26" spans="1:6" ht="15" customHeight="1" x14ac:dyDescent="0.3">
      <c r="A26" s="7" t="s">
        <v>61</v>
      </c>
      <c r="B26" s="9">
        <v>0</v>
      </c>
      <c r="C26" s="9">
        <v>8</v>
      </c>
      <c r="D26" s="15">
        <f>$B$22</f>
        <v>0.2</v>
      </c>
      <c r="E26" s="9">
        <v>0</v>
      </c>
      <c r="F26" s="8">
        <v>0.5</v>
      </c>
    </row>
    <row r="27" spans="1:6" ht="15" customHeight="1" x14ac:dyDescent="0.3">
      <c r="A27" s="7" t="s">
        <v>62</v>
      </c>
      <c r="B27" s="9">
        <v>8</v>
      </c>
      <c r="C27" s="9">
        <v>999999</v>
      </c>
      <c r="D27" s="15">
        <f>$B$22</f>
        <v>0.2</v>
      </c>
      <c r="E27" s="9">
        <v>4</v>
      </c>
      <c r="F27" s="8">
        <v>0</v>
      </c>
    </row>
    <row r="29" spans="1:6" ht="15" customHeight="1" x14ac:dyDescent="0.3">
      <c r="A29" s="5" t="s">
        <v>63</v>
      </c>
      <c r="B29" s="6"/>
      <c r="C29" s="6"/>
      <c r="D29" s="6"/>
      <c r="E29" s="6"/>
      <c r="F29" s="6"/>
    </row>
    <row r="30" spans="1:6" ht="15" customHeight="1" x14ac:dyDescent="0.3">
      <c r="A30" s="7" t="s">
        <v>64</v>
      </c>
      <c r="B30" s="8">
        <v>0</v>
      </c>
    </row>
    <row r="31" spans="1:6" ht="15" customHeight="1" x14ac:dyDescent="0.3">
      <c r="A31" s="7" t="s">
        <v>65</v>
      </c>
      <c r="B31" s="9">
        <v>0</v>
      </c>
    </row>
    <row r="32" spans="1:6" ht="31.5" customHeight="1" x14ac:dyDescent="0.3">
      <c r="A32" s="13" t="s">
        <v>46</v>
      </c>
      <c r="B32" s="14" t="s">
        <v>47</v>
      </c>
      <c r="C32" s="14" t="s">
        <v>48</v>
      </c>
      <c r="D32" s="14" t="s">
        <v>49</v>
      </c>
      <c r="E32" s="14" t="s">
        <v>50</v>
      </c>
      <c r="F32" s="14" t="s">
        <v>51</v>
      </c>
    </row>
    <row r="33" spans="1:6" ht="15" customHeight="1" x14ac:dyDescent="0.3">
      <c r="A33" s="7" t="s">
        <v>66</v>
      </c>
      <c r="B33" s="9">
        <v>0</v>
      </c>
      <c r="C33" s="9">
        <v>50</v>
      </c>
      <c r="D33" s="8">
        <v>0.1</v>
      </c>
      <c r="E33" s="9">
        <v>4</v>
      </c>
      <c r="F33" s="8">
        <v>0</v>
      </c>
    </row>
    <row r="34" spans="1:6" ht="15" customHeight="1" x14ac:dyDescent="0.3">
      <c r="A34" s="7" t="s">
        <v>67</v>
      </c>
      <c r="B34" s="9">
        <v>50</v>
      </c>
      <c r="C34" s="9">
        <v>999999</v>
      </c>
      <c r="D34" s="8">
        <v>0.06</v>
      </c>
      <c r="E34" s="9">
        <v>6</v>
      </c>
      <c r="F34" s="8">
        <v>0</v>
      </c>
    </row>
    <row r="36" spans="1:6" ht="15" customHeight="1" x14ac:dyDescent="0.3">
      <c r="A36" s="5" t="s">
        <v>68</v>
      </c>
      <c r="B36" s="6"/>
      <c r="C36" s="6"/>
      <c r="D36" s="6"/>
      <c r="E36" s="6"/>
      <c r="F36" s="6"/>
    </row>
    <row r="37" spans="1:6" ht="15" customHeight="1" x14ac:dyDescent="0.3">
      <c r="A37" s="7" t="s">
        <v>69</v>
      </c>
      <c r="B37" s="8">
        <v>0</v>
      </c>
    </row>
    <row r="38" spans="1:6" ht="15" customHeight="1" x14ac:dyDescent="0.3">
      <c r="A38" s="7" t="s">
        <v>70</v>
      </c>
      <c r="B38" s="8">
        <v>0</v>
      </c>
    </row>
    <row r="39" spans="1:6" ht="15" customHeight="1" x14ac:dyDescent="0.3">
      <c r="A39" s="7" t="s">
        <v>65</v>
      </c>
      <c r="B39" s="9">
        <v>0</v>
      </c>
    </row>
    <row r="41" spans="1:6" ht="15" customHeight="1" x14ac:dyDescent="0.3">
      <c r="A41" s="5" t="s">
        <v>71</v>
      </c>
      <c r="B41" s="6"/>
      <c r="C41" s="6"/>
      <c r="D41" s="6"/>
      <c r="E41" s="6"/>
      <c r="F41" s="6"/>
    </row>
    <row r="42" spans="1:6" ht="48" customHeight="1" x14ac:dyDescent="0.3">
      <c r="A42" s="20" t="s">
        <v>72</v>
      </c>
      <c r="B42" s="20"/>
      <c r="C42" s="20"/>
      <c r="D42" s="20"/>
      <c r="E42" s="20"/>
      <c r="F42" s="20"/>
    </row>
    <row r="43" spans="1:6" ht="48" customHeight="1" x14ac:dyDescent="0.3">
      <c r="A43" s="20" t="s">
        <v>73</v>
      </c>
      <c r="B43" s="20"/>
      <c r="C43" s="20"/>
      <c r="D43" s="20"/>
      <c r="E43" s="20"/>
      <c r="F43" s="20"/>
    </row>
    <row r="44" spans="1:6" ht="48" customHeight="1" x14ac:dyDescent="0.3">
      <c r="A44" s="20" t="s">
        <v>74</v>
      </c>
      <c r="B44" s="20"/>
      <c r="C44" s="20"/>
      <c r="D44" s="20"/>
      <c r="E44" s="20"/>
      <c r="F44" s="20"/>
    </row>
    <row r="45" spans="1:6" ht="48" customHeight="1" x14ac:dyDescent="0.3">
      <c r="A45" s="20" t="s">
        <v>75</v>
      </c>
      <c r="B45" s="20"/>
      <c r="C45" s="20"/>
      <c r="D45" s="20"/>
      <c r="E45" s="20"/>
      <c r="F45" s="20"/>
    </row>
    <row r="46" spans="1:6" ht="48" customHeight="1" x14ac:dyDescent="0.3">
      <c r="A46" s="20" t="s">
        <v>76</v>
      </c>
      <c r="B46" s="20"/>
      <c r="C46" s="20"/>
      <c r="D46" s="20"/>
      <c r="E46" s="20"/>
      <c r="F46" s="20"/>
    </row>
    <row r="47" spans="1:6" ht="48" customHeight="1" x14ac:dyDescent="0.3">
      <c r="A47" s="20" t="s">
        <v>77</v>
      </c>
      <c r="B47" s="20"/>
      <c r="C47" s="20"/>
      <c r="D47" s="20"/>
      <c r="E47" s="20"/>
      <c r="F47" s="20"/>
    </row>
  </sheetData>
  <mergeCells count="7">
    <mergeCell ref="A46:F46"/>
    <mergeCell ref="A47:F47"/>
    <mergeCell ref="A2:F2"/>
    <mergeCell ref="A42:F42"/>
    <mergeCell ref="A43:F43"/>
    <mergeCell ref="A44:F44"/>
    <mergeCell ref="A45:F4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Views>
    <sheetView tabSelected="1" zoomScaleNormal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U32" sqref="U32"/>
    </sheetView>
  </sheetViews>
  <sheetFormatPr defaultColWidth="8.6640625" defaultRowHeight="14.4" x14ac:dyDescent="0.3"/>
  <cols>
    <col min="1" max="1" width="5" style="1" customWidth="1"/>
    <col min="2" max="2" width="40" style="1" customWidth="1"/>
    <col min="3" max="26" width="13" style="1" customWidth="1"/>
  </cols>
  <sheetData>
    <row r="1" spans="1:26" ht="15" customHeight="1" x14ac:dyDescent="0.3">
      <c r="A1" s="16" t="s">
        <v>78</v>
      </c>
    </row>
    <row r="3" spans="1:26" ht="45" customHeight="1" x14ac:dyDescent="0.3">
      <c r="A3" s="17" t="s">
        <v>1</v>
      </c>
      <c r="B3" s="17" t="s">
        <v>2</v>
      </c>
      <c r="C3" s="17" t="s">
        <v>3</v>
      </c>
      <c r="D3" s="17" t="s">
        <v>79</v>
      </c>
      <c r="E3" s="17" t="s">
        <v>5</v>
      </c>
      <c r="F3" s="17" t="s">
        <v>80</v>
      </c>
      <c r="G3" s="17" t="s">
        <v>81</v>
      </c>
      <c r="H3" s="17" t="s">
        <v>82</v>
      </c>
      <c r="I3" s="17" t="s">
        <v>83</v>
      </c>
      <c r="J3" s="17" t="s">
        <v>84</v>
      </c>
      <c r="K3" s="17" t="s">
        <v>85</v>
      </c>
      <c r="L3" s="17" t="s">
        <v>86</v>
      </c>
      <c r="M3" s="17" t="s">
        <v>87</v>
      </c>
      <c r="N3" s="17" t="s">
        <v>88</v>
      </c>
      <c r="O3" s="17" t="s">
        <v>89</v>
      </c>
      <c r="P3" s="17" t="s">
        <v>90</v>
      </c>
      <c r="Q3" s="17" t="s">
        <v>91</v>
      </c>
      <c r="R3" s="17" t="s">
        <v>92</v>
      </c>
      <c r="S3" s="17" t="s">
        <v>93</v>
      </c>
      <c r="T3" s="17" t="s">
        <v>94</v>
      </c>
      <c r="U3" s="17" t="s">
        <v>95</v>
      </c>
      <c r="V3" s="17" t="s">
        <v>96</v>
      </c>
      <c r="W3" s="17" t="s">
        <v>97</v>
      </c>
      <c r="X3" s="17" t="s">
        <v>98</v>
      </c>
      <c r="Y3" s="17" t="s">
        <v>99</v>
      </c>
      <c r="Z3" s="17" t="s">
        <v>100</v>
      </c>
    </row>
    <row r="4" spans="1:26" ht="15" customHeight="1" x14ac:dyDescent="0.3">
      <c r="A4" s="7">
        <f>Planilha1!A4</f>
        <v>1</v>
      </c>
      <c r="B4" s="7" t="str">
        <f>Planilha1!B4</f>
        <v>Aplicador de Comprimidos</v>
      </c>
      <c r="C4" s="18">
        <f>Planilha1!C4</f>
        <v>3.07</v>
      </c>
      <c r="D4" s="18">
        <f>C4+Parametros!$B$7</f>
        <v>4.07</v>
      </c>
      <c r="E4" s="19">
        <f>IF(Parametros!$B$8=1,CEILING(D4/(1-Parametros!$B$9-Parametros!$B$6)+0.1,1)-0.1,ROUNDUP(D4/(1-Parametros!$B$9-Parametros!$B$6),2))</f>
        <v>8.9</v>
      </c>
      <c r="F4" s="18">
        <f>IF((1-Parametros!$D$15-Parametros!$B$12-Parametros!$B$6-Parametros!$B$5-Parametros!$F$15)&lt;=0,1000000000,MAX(Parametros!$B$15,(D4+Parametros!$E$15+Parametros!$B$13)/(1-Parametros!$D$15-Parametros!$B$12-Parametros!$B$6-Parametros!$B$5-Parametros!$F$15)))</f>
        <v>33.9166666666667</v>
      </c>
      <c r="G4" s="18">
        <f>IF((1-Parametros!$D$16-Parametros!$B$12-Parametros!$B$6-Parametros!$B$5-Parametros!$F$16)&lt;=0,1000000000,MAX(Parametros!$B$16,(D4+Parametros!$E$16+Parametros!$B$13)/(1-Parametros!$D$16-Parametros!$B$12-Parametros!$B$6-Parametros!$B$5-Parametros!$F$16)))</f>
        <v>16.645161290322584</v>
      </c>
      <c r="H4" s="18">
        <f>IF((1-Parametros!$D$17-Parametros!$B$12-Parametros!$B$6-Parametros!$B$5-Parametros!$F$17)&lt;=0,1000000000,MAX(Parametros!$B$17,(D4+Parametros!$E$17+Parametros!$B$13)/(1-Parametros!$D$17-Parametros!$B$12-Parametros!$B$6-Parametros!$B$5-Parametros!$F$17)))</f>
        <v>29</v>
      </c>
      <c r="I4" s="18">
        <f>IF((1-Parametros!$D$18-Parametros!$B$12-Parametros!$B$6-Parametros!$B$5-Parametros!$F$18)&lt;=0,1000000000,MAX(Parametros!$B$18,(D4+Parametros!$E$18+Parametros!$B$13)/(1-Parametros!$D$18-Parametros!$B$12-Parametros!$B$6-Parametros!$B$5-Parametros!$F$18)))</f>
        <v>50</v>
      </c>
      <c r="J4" s="18">
        <f>IF((1-Parametros!$D$19-Parametros!$B$12-Parametros!$B$6-Parametros!$B$5-Parametros!$F$19)&lt;=0,1000000000,MAX(Parametros!$B$19,(D4+Parametros!$E$19+Parametros!$B$13)/(1-Parametros!$D$19-Parametros!$B$12-Parametros!$B$6-Parametros!$B$5-Parametros!$F$19)))</f>
        <v>79</v>
      </c>
      <c r="K4" s="19">
        <f>IF(Parametros!$B$8=1,CEILING(IF(F4&lt;Parametros!$C$15,F4,IF(G4&lt;Parametros!$C$16,G4,IF(H4&lt;Parametros!$C$17,H4,IF(I4&lt;Parametros!$C$18,I4,J4))))+0.1,1)-0.1,ROUNDUP(IF(F4&lt;Parametros!$C$15,F4,IF(G4&lt;Parametros!$C$16,G4,IF(H4&lt;Parametros!$C$17,H4,IF(I4&lt;Parametros!$C$18,I4,J4)))),2))</f>
        <v>16.899999999999999</v>
      </c>
      <c r="L4" s="18">
        <f>K4-K4*(INDEX(Parametros!$D$15:$D$19,MATCH(K4,Parametros!$B$15:$B$19,1))+Parametros!$B$12+Parametros!$B$6+INDEX(Parametros!$F$15:$F$19,MATCH(K4,Parametros!$B$15:$B$19,1)))-INDEX(Parametros!$E$15:$E$19,MATCH(K4,Parametros!$B$15:$B$19,1))-Parametros!$B$13-D4</f>
        <v>3.5379999999999985</v>
      </c>
      <c r="M4" s="15">
        <f t="shared" ref="M4:M24" si="0">L4/K4</f>
        <v>0.20934911242603543</v>
      </c>
      <c r="N4" s="18">
        <f>IF((1-Parametros!$D$26-Parametros!$B$23-Parametros!$B$6-Parametros!$B$5-Parametros!$F$26)&lt;=0,1000000000,MAX(Parametros!$B$26,(D4+Parametros!$E$26+Parametros!$B$24)/(1-Parametros!$D$26-Parametros!$B$23-Parametros!$B$6-Parametros!$B$5-Parametros!$F$26)))</f>
        <v>67.833333333333272</v>
      </c>
      <c r="O4" s="18">
        <f>IF((1-Parametros!$D$27-Parametros!$B$23-Parametros!$B$6-Parametros!$B$5-Parametros!$F$27)&lt;=0,1000000000,MAX(Parametros!$B$27,(D4+Parametros!$E$27+Parametros!$B$24)/(1-Parametros!$D$27-Parametros!$B$23-Parametros!$B$6-Parametros!$B$5-Parametros!$F$27)))</f>
        <v>14.410714285714285</v>
      </c>
      <c r="P4" s="19">
        <f>IF(Parametros!$B$8=1,CEILING(IF(N4&lt;Parametros!$C$26,N4,O4)+0.1,1)-0.1,ROUNDUP(IF(N4&lt;Parametros!$C$26,N4,O4),2))</f>
        <v>14.9</v>
      </c>
      <c r="Q4" s="18">
        <f>P4-P4*(INDEX(Parametros!$D$26:$D$27,MATCH(P4,Parametros!$B$26:$B$27,1))+Parametros!$B$23+Parametros!$B$6+INDEX(Parametros!$F$26:$F$27,MATCH(P4,Parametros!$B$26:$B$27,1)))-INDEX(Parametros!$E$26:$E$27,MATCH(P4,Parametros!$B$26:$B$27,1))-Parametros!$B$24-D4</f>
        <v>3.2539999999999996</v>
      </c>
      <c r="R4" s="15">
        <f t="shared" ref="R4:R24" si="1">Q4/P4</f>
        <v>0.2183892617449664</v>
      </c>
      <c r="S4" s="18">
        <f>IF((1-Parametros!$D$33-Parametros!$B$30-Parametros!$B$6-Parametros!$B$5-Parametros!$F$33)&lt;=0,1000000000,MAX(Parametros!$B$33,(D4+Parametros!$E$33+Parametros!$B$31)/(1-Parametros!$D$33-Parametros!$B$30-Parametros!$B$6-Parametros!$B$5-Parametros!$F$33)))</f>
        <v>12.227272727272728</v>
      </c>
      <c r="T4" s="18">
        <f>IF((1-Parametros!$D$34-Parametros!$B$30-Parametros!$B$6-Parametros!$B$5-Parametros!$F$34)&lt;=0,1000000000,MAX(Parametros!$B$34,(D4+Parametros!$E$34+Parametros!$B$31)/(1-Parametros!$D$34-Parametros!$B$30-Parametros!$B$6-Parametros!$B$5-Parametros!$F$34)))</f>
        <v>50</v>
      </c>
      <c r="U4" s="19">
        <f>IF(Parametros!$B$8=1,CEILING(IF(S4&lt;Parametros!$C$33,S4,T4)+0.1,1)-0.1,ROUNDUP(IF(S4&lt;Parametros!$C$33,S4,T4),2))</f>
        <v>12.9</v>
      </c>
      <c r="V4" s="18">
        <f>U4-U4*(INDEX(Parametros!$D$33:$D$34,MATCH(U4,Parametros!$B$33:$B$34,1))+Parametros!$B$30+Parametros!$B$6+INDEX(Parametros!$F$33:$F$34,MATCH(U4,Parametros!$B$33:$B$34,1)))-INDEX(Parametros!$E$33:$E$34,MATCH(U4,Parametros!$B$33:$B$34,1))-Parametros!$B$31-D4</f>
        <v>3.0239999999999991</v>
      </c>
      <c r="W4" s="15">
        <f t="shared" ref="W4:W24" si="2">V4/U4</f>
        <v>0.23441860465116271</v>
      </c>
      <c r="X4" s="19">
        <f>IF(Parametros!$B$8=1,CEILING((D4+Parametros!$B$39)/(1-Parametros!$B$37-Parametros!$B$38-Parametros!$B$6-Parametros!$B$9)+0.1,1)-0.1,ROUNDUP((D4+Parametros!$B$39)/(1-Parametros!$B$37-Parametros!$B$38-Parametros!$B$6-Parametros!$B$9),2))</f>
        <v>8.9</v>
      </c>
      <c r="Y4" s="18">
        <f>X4-X4*(Parametros!$B$37+Parametros!$B$38+Parametros!$B$6)-Parametros!$B$39-D4</f>
        <v>4.4740000000000002</v>
      </c>
      <c r="Z4" s="15">
        <f t="shared" ref="Z4:Z24" si="3">Y4/X4</f>
        <v>0.50269662921348313</v>
      </c>
    </row>
    <row r="5" spans="1:26" ht="15" customHeight="1" x14ac:dyDescent="0.3">
      <c r="A5" s="7">
        <f>Planilha1!A5</f>
        <v>2</v>
      </c>
      <c r="B5" s="7" t="str">
        <f>Planilha1!B5</f>
        <v>Bolinha de Petiscos Peixe</v>
      </c>
      <c r="C5" s="18">
        <f>Planilha1!C5</f>
        <v>3.06</v>
      </c>
      <c r="D5" s="18">
        <f>C5+Parametros!$B$7</f>
        <v>4.0600000000000005</v>
      </c>
      <c r="E5" s="19">
        <f>IF(Parametros!$B$8=1,CEILING(D5/(1-Parametros!$B$9-Parametros!$B$6)+0.1,1)-0.1,ROUNDUP(D5/(1-Parametros!$B$9-Parametros!$B$6),2))</f>
        <v>8.9</v>
      </c>
      <c r="F5" s="18">
        <f>IF((1-Parametros!$D$15-Parametros!$B$12-Parametros!$B$6-Parametros!$B$5-Parametros!$F$15)&lt;=0,1000000000,MAX(Parametros!$B$15,(D5+Parametros!$E$15+Parametros!$B$13)/(1-Parametros!$D$15-Parametros!$B$12-Parametros!$B$6-Parametros!$B$5-Parametros!$F$15)))</f>
        <v>33.833333333333371</v>
      </c>
      <c r="G5" s="18">
        <f>IF((1-Parametros!$D$16-Parametros!$B$12-Parametros!$B$6-Parametros!$B$5-Parametros!$F$16)&lt;=0,1000000000,MAX(Parametros!$B$16,(D5+Parametros!$E$16+Parametros!$B$13)/(1-Parametros!$D$16-Parametros!$B$12-Parametros!$B$6-Parametros!$B$5-Parametros!$F$16)))</f>
        <v>16.62903225806452</v>
      </c>
      <c r="H5" s="18">
        <f>IF((1-Parametros!$D$17-Parametros!$B$12-Parametros!$B$6-Parametros!$B$5-Parametros!$F$17)&lt;=0,1000000000,MAX(Parametros!$B$17,(D5+Parametros!$E$17+Parametros!$B$13)/(1-Parametros!$D$17-Parametros!$B$12-Parametros!$B$6-Parametros!$B$5-Parametros!$F$17)))</f>
        <v>29</v>
      </c>
      <c r="I5" s="18">
        <f>IF((1-Parametros!$D$18-Parametros!$B$12-Parametros!$B$6-Parametros!$B$5-Parametros!$F$18)&lt;=0,1000000000,MAX(Parametros!$B$18,(D5+Parametros!$E$18+Parametros!$B$13)/(1-Parametros!$D$18-Parametros!$B$12-Parametros!$B$6-Parametros!$B$5-Parametros!$F$18)))</f>
        <v>50</v>
      </c>
      <c r="J5" s="18">
        <f>IF((1-Parametros!$D$19-Parametros!$B$12-Parametros!$B$6-Parametros!$B$5-Parametros!$F$19)&lt;=0,1000000000,MAX(Parametros!$B$19,(D5+Parametros!$E$19+Parametros!$B$13)/(1-Parametros!$D$19-Parametros!$B$12-Parametros!$B$6-Parametros!$B$5-Parametros!$F$19)))</f>
        <v>79</v>
      </c>
      <c r="K5" s="19">
        <f>IF(Parametros!$B$8=1,CEILING(IF(F5&lt;Parametros!$C$15,F5,IF(G5&lt;Parametros!$C$16,G5,IF(H5&lt;Parametros!$C$17,H5,IF(I5&lt;Parametros!$C$18,I5,J5))))+0.1,1)-0.1,ROUNDUP(IF(F5&lt;Parametros!$C$15,F5,IF(G5&lt;Parametros!$C$16,G5,IF(H5&lt;Parametros!$C$17,H5,IF(I5&lt;Parametros!$C$18,I5,J5)))),2))</f>
        <v>16.899999999999999</v>
      </c>
      <c r="L5" s="18">
        <f>K5-K5*(INDEX(Parametros!$D$15:$D$19,MATCH(K5,Parametros!$B$15:$B$19,1))+Parametros!$B$12+Parametros!$B$6+INDEX(Parametros!$F$15:$F$19,MATCH(K5,Parametros!$B$15:$B$19,1)))-INDEX(Parametros!$E$15:$E$19,MATCH(K5,Parametros!$B$15:$B$19,1))-Parametros!$B$13-D5</f>
        <v>3.5479999999999983</v>
      </c>
      <c r="M5" s="15">
        <f t="shared" si="0"/>
        <v>0.20994082840236677</v>
      </c>
      <c r="N5" s="18">
        <f>IF((1-Parametros!$D$26-Parametros!$B$23-Parametros!$B$6-Parametros!$B$5-Parametros!$F$26)&lt;=0,1000000000,MAX(Parametros!$B$26,(D5+Parametros!$E$26+Parametros!$B$24)/(1-Parametros!$D$26-Parametros!$B$23-Parametros!$B$6-Parametros!$B$5-Parametros!$F$26)))</f>
        <v>67.666666666666615</v>
      </c>
      <c r="O5" s="18">
        <f>IF((1-Parametros!$D$27-Parametros!$B$23-Parametros!$B$6-Parametros!$B$5-Parametros!$F$27)&lt;=0,1000000000,MAX(Parametros!$B$27,(D5+Parametros!$E$27+Parametros!$B$24)/(1-Parametros!$D$27-Parametros!$B$23-Parametros!$B$6-Parametros!$B$5-Parametros!$F$27)))</f>
        <v>14.392857142857142</v>
      </c>
      <c r="P5" s="19">
        <f>IF(Parametros!$B$8=1,CEILING(IF(N5&lt;Parametros!$C$26,N5,O5)+0.1,1)-0.1,ROUNDUP(IF(N5&lt;Parametros!$C$26,N5,O5),2))</f>
        <v>14.9</v>
      </c>
      <c r="Q5" s="18">
        <f>P5-P5*(INDEX(Parametros!$D$26:$D$27,MATCH(P5,Parametros!$B$26:$B$27,1))+Parametros!$B$23+Parametros!$B$6+INDEX(Parametros!$F$26:$F$27,MATCH(P5,Parametros!$B$26:$B$27,1)))-INDEX(Parametros!$E$26:$E$27,MATCH(P5,Parametros!$B$26:$B$27,1))-Parametros!$B$24-D5</f>
        <v>3.2639999999999993</v>
      </c>
      <c r="R5" s="15">
        <f t="shared" si="1"/>
        <v>0.2190604026845637</v>
      </c>
      <c r="S5" s="18">
        <f>IF((1-Parametros!$D$33-Parametros!$B$30-Parametros!$B$6-Parametros!$B$5-Parametros!$F$33)&lt;=0,1000000000,MAX(Parametros!$B$33,(D5+Parametros!$E$33+Parametros!$B$31)/(1-Parametros!$D$33-Parametros!$B$30-Parametros!$B$6-Parametros!$B$5-Parametros!$F$33)))</f>
        <v>12.212121212121215</v>
      </c>
      <c r="T5" s="18">
        <f>IF((1-Parametros!$D$34-Parametros!$B$30-Parametros!$B$6-Parametros!$B$5-Parametros!$F$34)&lt;=0,1000000000,MAX(Parametros!$B$34,(D5+Parametros!$E$34+Parametros!$B$31)/(1-Parametros!$D$34-Parametros!$B$30-Parametros!$B$6-Parametros!$B$5-Parametros!$F$34)))</f>
        <v>50</v>
      </c>
      <c r="U5" s="19">
        <f>IF(Parametros!$B$8=1,CEILING(IF(S5&lt;Parametros!$C$33,S5,T5)+0.1,1)-0.1,ROUNDUP(IF(S5&lt;Parametros!$C$33,S5,T5),2))</f>
        <v>12.9</v>
      </c>
      <c r="V5" s="18">
        <f>U5-U5*(INDEX(Parametros!$D$33:$D$34,MATCH(U5,Parametros!$B$33:$B$34,1))+Parametros!$B$30+Parametros!$B$6+INDEX(Parametros!$F$33:$F$34,MATCH(U5,Parametros!$B$33:$B$34,1)))-INDEX(Parametros!$E$33:$E$34,MATCH(U5,Parametros!$B$33:$B$34,1))-Parametros!$B$31-D5</f>
        <v>3.0339999999999989</v>
      </c>
      <c r="W5" s="15">
        <f t="shared" si="2"/>
        <v>0.2351937984496123</v>
      </c>
      <c r="X5" s="19">
        <f>IF(Parametros!$B$8=1,CEILING((D5+Parametros!$B$39)/(1-Parametros!$B$37-Parametros!$B$38-Parametros!$B$6-Parametros!$B$9)+0.1,1)-0.1,ROUNDUP((D5+Parametros!$B$39)/(1-Parametros!$B$37-Parametros!$B$38-Parametros!$B$6-Parametros!$B$9),2))</f>
        <v>8.9</v>
      </c>
      <c r="Y5" s="18">
        <f>X5-X5*(Parametros!$B$37+Parametros!$B$38+Parametros!$B$6)-Parametros!$B$39-D5</f>
        <v>4.484</v>
      </c>
      <c r="Z5" s="15">
        <f t="shared" si="3"/>
        <v>0.50382022471910115</v>
      </c>
    </row>
    <row r="6" spans="1:26" ht="15" customHeight="1" x14ac:dyDescent="0.3">
      <c r="A6" s="7">
        <f>Planilha1!A6</f>
        <v>3</v>
      </c>
      <c r="B6" s="7" t="str">
        <f>Planilha1!B6</f>
        <v>Bolinha de Purga</v>
      </c>
      <c r="C6" s="18">
        <f>Planilha1!C6</f>
        <v>3.47</v>
      </c>
      <c r="D6" s="18">
        <f>C6+Parametros!$B$7</f>
        <v>4.4700000000000006</v>
      </c>
      <c r="E6" s="19">
        <f>IF(Parametros!$B$8=1,CEILING(D6/(1-Parametros!$B$9-Parametros!$B$6)+0.1,1)-0.1,ROUNDUP(D6/(1-Parametros!$B$9-Parametros!$B$6),2))</f>
        <v>9.9</v>
      </c>
      <c r="F6" s="18">
        <f>IF((1-Parametros!$D$15-Parametros!$B$12-Parametros!$B$6-Parametros!$B$5-Parametros!$F$15)&lt;=0,1000000000,MAX(Parametros!$B$15,(D6+Parametros!$E$15+Parametros!$B$13)/(1-Parametros!$D$15-Parametros!$B$12-Parametros!$B$6-Parametros!$B$5-Parametros!$F$15)))</f>
        <v>37.250000000000043</v>
      </c>
      <c r="G6" s="18">
        <f>IF((1-Parametros!$D$16-Parametros!$B$12-Parametros!$B$6-Parametros!$B$5-Parametros!$F$16)&lt;=0,1000000000,MAX(Parametros!$B$16,(D6+Parametros!$E$16+Parametros!$B$13)/(1-Parametros!$D$16-Parametros!$B$12-Parametros!$B$6-Parametros!$B$5-Parametros!$F$16)))</f>
        <v>17.290322580645167</v>
      </c>
      <c r="H6" s="18">
        <f>IF((1-Parametros!$D$17-Parametros!$B$12-Parametros!$B$6-Parametros!$B$5-Parametros!$F$17)&lt;=0,1000000000,MAX(Parametros!$B$17,(D6+Parametros!$E$17+Parametros!$B$13)/(1-Parametros!$D$17-Parametros!$B$12-Parametros!$B$6-Parametros!$B$5-Parametros!$F$17)))</f>
        <v>29</v>
      </c>
      <c r="I6" s="18">
        <f>IF((1-Parametros!$D$18-Parametros!$B$12-Parametros!$B$6-Parametros!$B$5-Parametros!$F$18)&lt;=0,1000000000,MAX(Parametros!$B$18,(D6+Parametros!$E$18+Parametros!$B$13)/(1-Parametros!$D$18-Parametros!$B$12-Parametros!$B$6-Parametros!$B$5-Parametros!$F$18)))</f>
        <v>50</v>
      </c>
      <c r="J6" s="18">
        <f>IF((1-Parametros!$D$19-Parametros!$B$12-Parametros!$B$6-Parametros!$B$5-Parametros!$F$19)&lt;=0,1000000000,MAX(Parametros!$B$19,(D6+Parametros!$E$19+Parametros!$B$13)/(1-Parametros!$D$19-Parametros!$B$12-Parametros!$B$6-Parametros!$B$5-Parametros!$F$19)))</f>
        <v>79</v>
      </c>
      <c r="K6" s="19">
        <f>IF(Parametros!$B$8=1,CEILING(IF(F6&lt;Parametros!$C$15,F6,IF(G6&lt;Parametros!$C$16,G6,IF(H6&lt;Parametros!$C$17,H6,IF(I6&lt;Parametros!$C$18,I6,J6))))+0.1,1)-0.1,ROUNDUP(IF(F6&lt;Parametros!$C$15,F6,IF(G6&lt;Parametros!$C$16,G6,IF(H6&lt;Parametros!$C$17,H6,IF(I6&lt;Parametros!$C$18,I6,J6)))),2))</f>
        <v>17.899999999999999</v>
      </c>
      <c r="L6" s="18">
        <f>K6-K6*(INDEX(Parametros!$D$15:$D$19,MATCH(K6,Parametros!$B$15:$B$19,1))+Parametros!$B$12+Parametros!$B$6+INDEX(Parametros!$F$15:$F$19,MATCH(K6,Parametros!$B$15:$B$19,1)))-INDEX(Parametros!$E$15:$E$19,MATCH(K6,Parametros!$B$15:$B$19,1))-Parametros!$B$13-D6</f>
        <v>3.9579999999999984</v>
      </c>
      <c r="M6" s="15">
        <f t="shared" si="0"/>
        <v>0.22111731843575411</v>
      </c>
      <c r="N6" s="18">
        <f>IF((1-Parametros!$D$26-Parametros!$B$23-Parametros!$B$6-Parametros!$B$5-Parametros!$F$26)&lt;=0,1000000000,MAX(Parametros!$B$26,(D6+Parametros!$E$26+Parametros!$B$24)/(1-Parametros!$D$26-Parametros!$B$23-Parametros!$B$6-Parametros!$B$5-Parametros!$F$26)))</f>
        <v>74.499999999999943</v>
      </c>
      <c r="O6" s="18">
        <f>IF((1-Parametros!$D$27-Parametros!$B$23-Parametros!$B$6-Parametros!$B$5-Parametros!$F$27)&lt;=0,1000000000,MAX(Parametros!$B$27,(D6+Parametros!$E$27+Parametros!$B$24)/(1-Parametros!$D$27-Parametros!$B$23-Parametros!$B$6-Parametros!$B$5-Parametros!$F$27)))</f>
        <v>15.125</v>
      </c>
      <c r="P6" s="19">
        <f>IF(Parametros!$B$8=1,CEILING(IF(N6&lt;Parametros!$C$26,N6,O6)+0.1,1)-0.1,ROUNDUP(IF(N6&lt;Parametros!$C$26,N6,O6),2))</f>
        <v>15.9</v>
      </c>
      <c r="Q6" s="18">
        <f>P6-P6*(INDEX(Parametros!$D$26:$D$27,MATCH(P6,Parametros!$B$26:$B$27,1))+Parametros!$B$23+Parametros!$B$6+INDEX(Parametros!$F$26:$F$27,MATCH(P6,Parametros!$B$26:$B$27,1)))-INDEX(Parametros!$E$26:$E$27,MATCH(P6,Parametros!$B$26:$B$27,1))-Parametros!$B$24-D6</f>
        <v>3.613999999999999</v>
      </c>
      <c r="R6" s="15">
        <f t="shared" si="1"/>
        <v>0.22729559748427666</v>
      </c>
      <c r="S6" s="18">
        <f>IF((1-Parametros!$D$33-Parametros!$B$30-Parametros!$B$6-Parametros!$B$5-Parametros!$F$33)&lt;=0,1000000000,MAX(Parametros!$B$33,(D6+Parametros!$E$33+Parametros!$B$31)/(1-Parametros!$D$33-Parametros!$B$30-Parametros!$B$6-Parametros!$B$5-Parametros!$F$33)))</f>
        <v>12.833333333333336</v>
      </c>
      <c r="T6" s="18">
        <f>IF((1-Parametros!$D$34-Parametros!$B$30-Parametros!$B$6-Parametros!$B$5-Parametros!$F$34)&lt;=0,1000000000,MAX(Parametros!$B$34,(D6+Parametros!$E$34+Parametros!$B$31)/(1-Parametros!$D$34-Parametros!$B$30-Parametros!$B$6-Parametros!$B$5-Parametros!$F$34)))</f>
        <v>50</v>
      </c>
      <c r="U6" s="19">
        <f>IF(Parametros!$B$8=1,CEILING(IF(S6&lt;Parametros!$C$33,S6,T6)+0.1,1)-0.1,ROUNDUP(IF(S6&lt;Parametros!$C$33,S6,T6),2))</f>
        <v>12.9</v>
      </c>
      <c r="V6" s="18">
        <f>U6-U6*(INDEX(Parametros!$D$33:$D$34,MATCH(U6,Parametros!$B$33:$B$34,1))+Parametros!$B$30+Parametros!$B$6+INDEX(Parametros!$F$33:$F$34,MATCH(U6,Parametros!$B$33:$B$34,1)))-INDEX(Parametros!$E$33:$E$34,MATCH(U6,Parametros!$B$33:$B$34,1))-Parametros!$B$31-D6</f>
        <v>2.6239999999999988</v>
      </c>
      <c r="W6" s="15">
        <f t="shared" si="2"/>
        <v>0.20341085271317819</v>
      </c>
      <c r="X6" s="19">
        <f>IF(Parametros!$B$8=1,CEILING((D6+Parametros!$B$39)/(1-Parametros!$B$37-Parametros!$B$38-Parametros!$B$6-Parametros!$B$9)+0.1,1)-0.1,ROUNDUP((D6+Parametros!$B$39)/(1-Parametros!$B$37-Parametros!$B$38-Parametros!$B$6-Parametros!$B$9),2))</f>
        <v>9.9</v>
      </c>
      <c r="Y6" s="18">
        <f>X6-X6*(Parametros!$B$37+Parametros!$B$38+Parametros!$B$6)-Parametros!$B$39-D6</f>
        <v>5.0339999999999989</v>
      </c>
      <c r="Z6" s="15">
        <f t="shared" si="3"/>
        <v>0.50848484848484832</v>
      </c>
    </row>
    <row r="7" spans="1:26" ht="15" customHeight="1" x14ac:dyDescent="0.3">
      <c r="A7" s="7">
        <f>Planilha1!A7</f>
        <v>4</v>
      </c>
      <c r="B7" s="7" t="str">
        <f>Planilha1!B7</f>
        <v>Brinquedo Rato médio</v>
      </c>
      <c r="C7" s="18">
        <f>Planilha1!C7</f>
        <v>2.4900000000000002</v>
      </c>
      <c r="D7" s="18">
        <f>C7+Parametros!$B$7</f>
        <v>3.49</v>
      </c>
      <c r="E7" s="19">
        <f>IF(Parametros!$B$8=1,CEILING(D7/(1-Parametros!$B$9-Parametros!$B$6)+0.1,1)-0.1,ROUNDUP(D7/(1-Parametros!$B$9-Parametros!$B$6),2))</f>
        <v>7.9</v>
      </c>
      <c r="F7" s="18">
        <f>IF((1-Parametros!$D$15-Parametros!$B$12-Parametros!$B$6-Parametros!$B$5-Parametros!$F$15)&lt;=0,1000000000,MAX(Parametros!$B$15,(D7+Parametros!$E$15+Parametros!$B$13)/(1-Parametros!$D$15-Parametros!$B$12-Parametros!$B$6-Parametros!$B$5-Parametros!$F$15)))</f>
        <v>29.083333333333364</v>
      </c>
      <c r="G7" s="18">
        <f>IF((1-Parametros!$D$16-Parametros!$B$12-Parametros!$B$6-Parametros!$B$5-Parametros!$F$16)&lt;=0,1000000000,MAX(Parametros!$B$16,(D7+Parametros!$E$16+Parametros!$B$13)/(1-Parametros!$D$16-Parametros!$B$12-Parametros!$B$6-Parametros!$B$5-Parametros!$F$16)))</f>
        <v>15.709677419354842</v>
      </c>
      <c r="H7" s="18">
        <f>IF((1-Parametros!$D$17-Parametros!$B$12-Parametros!$B$6-Parametros!$B$5-Parametros!$F$17)&lt;=0,1000000000,MAX(Parametros!$B$17,(D7+Parametros!$E$17+Parametros!$B$13)/(1-Parametros!$D$17-Parametros!$B$12-Parametros!$B$6-Parametros!$B$5-Parametros!$F$17)))</f>
        <v>29</v>
      </c>
      <c r="I7" s="18">
        <f>IF((1-Parametros!$D$18-Parametros!$B$12-Parametros!$B$6-Parametros!$B$5-Parametros!$F$18)&lt;=0,1000000000,MAX(Parametros!$B$18,(D7+Parametros!$E$18+Parametros!$B$13)/(1-Parametros!$D$18-Parametros!$B$12-Parametros!$B$6-Parametros!$B$5-Parametros!$F$18)))</f>
        <v>50</v>
      </c>
      <c r="J7" s="18">
        <f>IF((1-Parametros!$D$19-Parametros!$B$12-Parametros!$B$6-Parametros!$B$5-Parametros!$F$19)&lt;=0,1000000000,MAX(Parametros!$B$19,(D7+Parametros!$E$19+Parametros!$B$13)/(1-Parametros!$D$19-Parametros!$B$12-Parametros!$B$6-Parametros!$B$5-Parametros!$F$19)))</f>
        <v>79</v>
      </c>
      <c r="K7" s="19">
        <f>IF(Parametros!$B$8=1,CEILING(IF(F7&lt;Parametros!$C$15,F7,IF(G7&lt;Parametros!$C$16,G7,IF(H7&lt;Parametros!$C$17,H7,IF(I7&lt;Parametros!$C$18,I7,J7))))+0.1,1)-0.1,ROUNDUP(IF(F7&lt;Parametros!$C$15,F7,IF(G7&lt;Parametros!$C$16,G7,IF(H7&lt;Parametros!$C$17,H7,IF(I7&lt;Parametros!$C$18,I7,J7)))),2))</f>
        <v>15.9</v>
      </c>
      <c r="L7" s="18">
        <f>K7-K7*(INDEX(Parametros!$D$15:$D$19,MATCH(K7,Parametros!$B$15:$B$19,1))+Parametros!$B$12+Parametros!$B$6+INDEX(Parametros!$F$15:$F$19,MATCH(K7,Parametros!$B$15:$B$19,1)))-INDEX(Parametros!$E$15:$E$19,MATCH(K7,Parametros!$B$15:$B$19,1))-Parametros!$B$13-D7</f>
        <v>3.298</v>
      </c>
      <c r="M7" s="15">
        <f t="shared" si="0"/>
        <v>0.20742138364779875</v>
      </c>
      <c r="N7" s="18">
        <f>IF((1-Parametros!$D$26-Parametros!$B$23-Parametros!$B$6-Parametros!$B$5-Parametros!$F$26)&lt;=0,1000000000,MAX(Parametros!$B$26,(D7+Parametros!$E$26+Parametros!$B$24)/(1-Parametros!$D$26-Parametros!$B$23-Parametros!$B$6-Parametros!$B$5-Parametros!$F$26)))</f>
        <v>58.166666666666622</v>
      </c>
      <c r="O7" s="18">
        <f>IF((1-Parametros!$D$27-Parametros!$B$23-Parametros!$B$6-Parametros!$B$5-Parametros!$F$27)&lt;=0,1000000000,MAX(Parametros!$B$27,(D7+Parametros!$E$27+Parametros!$B$24)/(1-Parametros!$D$27-Parametros!$B$23-Parametros!$B$6-Parametros!$B$5-Parametros!$F$27)))</f>
        <v>13.374999999999998</v>
      </c>
      <c r="P7" s="19">
        <f>IF(Parametros!$B$8=1,CEILING(IF(N7&lt;Parametros!$C$26,N7,O7)+0.1,1)-0.1,ROUNDUP(IF(N7&lt;Parametros!$C$26,N7,O7),2))</f>
        <v>13.9</v>
      </c>
      <c r="Q7" s="18">
        <f>P7-P7*(INDEX(Parametros!$D$26:$D$27,MATCH(P7,Parametros!$B$26:$B$27,1))+Parametros!$B$23+Parametros!$B$6+INDEX(Parametros!$F$26:$F$27,MATCH(P7,Parametros!$B$26:$B$27,1)))-INDEX(Parametros!$E$26:$E$27,MATCH(P7,Parametros!$B$26:$B$27,1))-Parametros!$B$24-D7</f>
        <v>3.0739999999999998</v>
      </c>
      <c r="R7" s="15">
        <f t="shared" si="1"/>
        <v>0.22115107913669063</v>
      </c>
      <c r="S7" s="18">
        <f>IF((1-Parametros!$D$33-Parametros!$B$30-Parametros!$B$6-Parametros!$B$5-Parametros!$F$33)&lt;=0,1000000000,MAX(Parametros!$B$33,(D7+Parametros!$E$33+Parametros!$B$31)/(1-Parametros!$D$33-Parametros!$B$30-Parametros!$B$6-Parametros!$B$5-Parametros!$F$33)))</f>
        <v>11.34848484848485</v>
      </c>
      <c r="T7" s="18">
        <f>IF((1-Parametros!$D$34-Parametros!$B$30-Parametros!$B$6-Parametros!$B$5-Parametros!$F$34)&lt;=0,1000000000,MAX(Parametros!$B$34,(D7+Parametros!$E$34+Parametros!$B$31)/(1-Parametros!$D$34-Parametros!$B$30-Parametros!$B$6-Parametros!$B$5-Parametros!$F$34)))</f>
        <v>50</v>
      </c>
      <c r="U7" s="19">
        <f>IF(Parametros!$B$8=1,CEILING(IF(S7&lt;Parametros!$C$33,S7,T7)+0.1,1)-0.1,ROUNDUP(IF(S7&lt;Parametros!$C$33,S7,T7),2))</f>
        <v>11.9</v>
      </c>
      <c r="V7" s="18">
        <f>U7-U7*(INDEX(Parametros!$D$33:$D$34,MATCH(U7,Parametros!$B$33:$B$34,1))+Parametros!$B$30+Parametros!$B$6+INDEX(Parametros!$F$33:$F$34,MATCH(U7,Parametros!$B$33:$B$34,1)))-INDEX(Parametros!$E$33:$E$34,MATCH(U7,Parametros!$B$33:$B$34,1))-Parametros!$B$31-D7</f>
        <v>2.7439999999999998</v>
      </c>
      <c r="W7" s="15">
        <f t="shared" si="2"/>
        <v>0.23058823529411762</v>
      </c>
      <c r="X7" s="19">
        <f>IF(Parametros!$B$8=1,CEILING((D7+Parametros!$B$39)/(1-Parametros!$B$37-Parametros!$B$38-Parametros!$B$6-Parametros!$B$9)+0.1,1)-0.1,ROUNDUP((D7+Parametros!$B$39)/(1-Parametros!$B$37-Parametros!$B$38-Parametros!$B$6-Parametros!$B$9),2))</f>
        <v>7.9</v>
      </c>
      <c r="Y7" s="18">
        <f>X7-X7*(Parametros!$B$37+Parametros!$B$38+Parametros!$B$6)-Parametros!$B$39-D7</f>
        <v>4.0940000000000003</v>
      </c>
      <c r="Z7" s="15">
        <f t="shared" si="3"/>
        <v>0.51822784810126588</v>
      </c>
    </row>
    <row r="8" spans="1:26" ht="15" customHeight="1" x14ac:dyDescent="0.3">
      <c r="A8" s="7">
        <f>Planilha1!A8</f>
        <v>5</v>
      </c>
      <c r="B8" s="7" t="str">
        <f>Planilha1!B8</f>
        <v>Brinquedo Rato articulado</v>
      </c>
      <c r="C8" s="18">
        <f>Planilha1!C8</f>
        <v>2.81</v>
      </c>
      <c r="D8" s="18">
        <f>C8+Parametros!$B$7</f>
        <v>3.81</v>
      </c>
      <c r="E8" s="19">
        <f>IF(Parametros!$B$8=1,CEILING(D8/(1-Parametros!$B$9-Parametros!$B$6)+0.1,1)-0.1,ROUNDUP(D8/(1-Parametros!$B$9-Parametros!$B$6),2))</f>
        <v>8.9</v>
      </c>
      <c r="F8" s="18">
        <f>IF((1-Parametros!$D$15-Parametros!$B$12-Parametros!$B$6-Parametros!$B$5-Parametros!$F$15)&lt;=0,1000000000,MAX(Parametros!$B$15,(D8+Parametros!$E$15+Parametros!$B$13)/(1-Parametros!$D$15-Parametros!$B$12-Parametros!$B$6-Parametros!$B$5-Parametros!$F$15)))</f>
        <v>31.750000000000032</v>
      </c>
      <c r="G8" s="18">
        <f>IF((1-Parametros!$D$16-Parametros!$B$12-Parametros!$B$6-Parametros!$B$5-Parametros!$F$16)&lt;=0,1000000000,MAX(Parametros!$B$16,(D8+Parametros!$E$16+Parametros!$B$13)/(1-Parametros!$D$16-Parametros!$B$12-Parametros!$B$6-Parametros!$B$5-Parametros!$F$16)))</f>
        <v>16.225806451612907</v>
      </c>
      <c r="H8" s="18">
        <f>IF((1-Parametros!$D$17-Parametros!$B$12-Parametros!$B$6-Parametros!$B$5-Parametros!$F$17)&lt;=0,1000000000,MAX(Parametros!$B$17,(D8+Parametros!$E$17+Parametros!$B$13)/(1-Parametros!$D$17-Parametros!$B$12-Parametros!$B$6-Parametros!$B$5-Parametros!$F$17)))</f>
        <v>29</v>
      </c>
      <c r="I8" s="18">
        <f>IF((1-Parametros!$D$18-Parametros!$B$12-Parametros!$B$6-Parametros!$B$5-Parametros!$F$18)&lt;=0,1000000000,MAX(Parametros!$B$18,(D8+Parametros!$E$18+Parametros!$B$13)/(1-Parametros!$D$18-Parametros!$B$12-Parametros!$B$6-Parametros!$B$5-Parametros!$F$18)))</f>
        <v>50</v>
      </c>
      <c r="J8" s="18">
        <f>IF((1-Parametros!$D$19-Parametros!$B$12-Parametros!$B$6-Parametros!$B$5-Parametros!$F$19)&lt;=0,1000000000,MAX(Parametros!$B$19,(D8+Parametros!$E$19+Parametros!$B$13)/(1-Parametros!$D$19-Parametros!$B$12-Parametros!$B$6-Parametros!$B$5-Parametros!$F$19)))</f>
        <v>79</v>
      </c>
      <c r="K8" s="19">
        <f>IF(Parametros!$B$8=1,CEILING(IF(F8&lt;Parametros!$C$15,F8,IF(G8&lt;Parametros!$C$16,G8,IF(H8&lt;Parametros!$C$17,H8,IF(I8&lt;Parametros!$C$18,I8,J8))))+0.1,1)-0.1,ROUNDUP(IF(F8&lt;Parametros!$C$15,F8,IF(G8&lt;Parametros!$C$16,G8,IF(H8&lt;Parametros!$C$17,H8,IF(I8&lt;Parametros!$C$18,I8,J8)))),2))</f>
        <v>16.899999999999999</v>
      </c>
      <c r="L8" s="18">
        <f>K8-K8*(INDEX(Parametros!$D$15:$D$19,MATCH(K8,Parametros!$B$15:$B$19,1))+Parametros!$B$12+Parametros!$B$6+INDEX(Parametros!$F$15:$F$19,MATCH(K8,Parametros!$B$15:$B$19,1)))-INDEX(Parametros!$E$15:$E$19,MATCH(K8,Parametros!$B$15:$B$19,1))-Parametros!$B$13-D8</f>
        <v>3.7979999999999987</v>
      </c>
      <c r="M8" s="15">
        <f t="shared" si="0"/>
        <v>0.22473372781065082</v>
      </c>
      <c r="N8" s="18">
        <f>IF((1-Parametros!$D$26-Parametros!$B$23-Parametros!$B$6-Parametros!$B$5-Parametros!$F$26)&lt;=0,1000000000,MAX(Parametros!$B$26,(D8+Parametros!$E$26+Parametros!$B$24)/(1-Parametros!$D$26-Parametros!$B$23-Parametros!$B$6-Parametros!$B$5-Parametros!$F$26)))</f>
        <v>63.499999999999943</v>
      </c>
      <c r="O8" s="18">
        <f>IF((1-Parametros!$D$27-Parametros!$B$23-Parametros!$B$6-Parametros!$B$5-Parametros!$F$27)&lt;=0,1000000000,MAX(Parametros!$B$27,(D8+Parametros!$E$27+Parametros!$B$24)/(1-Parametros!$D$27-Parametros!$B$23-Parametros!$B$6-Parametros!$B$5-Parametros!$F$27)))</f>
        <v>13.946428571428571</v>
      </c>
      <c r="P8" s="19">
        <f>IF(Parametros!$B$8=1,CEILING(IF(N8&lt;Parametros!$C$26,N8,O8)+0.1,1)-0.1,ROUNDUP(IF(N8&lt;Parametros!$C$26,N8,O8),2))</f>
        <v>14.9</v>
      </c>
      <c r="Q8" s="18">
        <f>P8-P8*(INDEX(Parametros!$D$26:$D$27,MATCH(P8,Parametros!$B$26:$B$27,1))+Parametros!$B$23+Parametros!$B$6+INDEX(Parametros!$F$26:$F$27,MATCH(P8,Parametros!$B$26:$B$27,1)))-INDEX(Parametros!$E$26:$E$27,MATCH(P8,Parametros!$B$26:$B$27,1))-Parametros!$B$24-D8</f>
        <v>3.5139999999999998</v>
      </c>
      <c r="R8" s="15">
        <f t="shared" si="1"/>
        <v>0.23583892617449662</v>
      </c>
      <c r="S8" s="18">
        <f>IF((1-Parametros!$D$33-Parametros!$B$30-Parametros!$B$6-Parametros!$B$5-Parametros!$F$33)&lt;=0,1000000000,MAX(Parametros!$B$33,(D8+Parametros!$E$33+Parametros!$B$31)/(1-Parametros!$D$33-Parametros!$B$30-Parametros!$B$6-Parametros!$B$5-Parametros!$F$33)))</f>
        <v>11.833333333333336</v>
      </c>
      <c r="T8" s="18">
        <f>IF((1-Parametros!$D$34-Parametros!$B$30-Parametros!$B$6-Parametros!$B$5-Parametros!$F$34)&lt;=0,1000000000,MAX(Parametros!$B$34,(D8+Parametros!$E$34+Parametros!$B$31)/(1-Parametros!$D$34-Parametros!$B$30-Parametros!$B$6-Parametros!$B$5-Parametros!$F$34)))</f>
        <v>50</v>
      </c>
      <c r="U8" s="19">
        <f>IF(Parametros!$B$8=1,CEILING(IF(S8&lt;Parametros!$C$33,S8,T8)+0.1,1)-0.1,ROUNDUP(IF(S8&lt;Parametros!$C$33,S8,T8),2))</f>
        <v>11.9</v>
      </c>
      <c r="V8" s="18">
        <f>U8-U8*(INDEX(Parametros!$D$33:$D$34,MATCH(U8,Parametros!$B$33:$B$34,1))+Parametros!$B$30+Parametros!$B$6+INDEX(Parametros!$F$33:$F$34,MATCH(U8,Parametros!$B$33:$B$34,1)))-INDEX(Parametros!$E$33:$E$34,MATCH(U8,Parametros!$B$33:$B$34,1))-Parametros!$B$31-D8</f>
        <v>2.4239999999999999</v>
      </c>
      <c r="W8" s="15">
        <f t="shared" si="2"/>
        <v>0.20369747899159663</v>
      </c>
      <c r="X8" s="19">
        <f>IF(Parametros!$B$8=1,CEILING((D8+Parametros!$B$39)/(1-Parametros!$B$37-Parametros!$B$38-Parametros!$B$6-Parametros!$B$9)+0.1,1)-0.1,ROUNDUP((D8+Parametros!$B$39)/(1-Parametros!$B$37-Parametros!$B$38-Parametros!$B$6-Parametros!$B$9),2))</f>
        <v>8.9</v>
      </c>
      <c r="Y8" s="18">
        <f>X8-X8*(Parametros!$B$37+Parametros!$B$38+Parametros!$B$6)-Parametros!$B$39-D8</f>
        <v>4.734</v>
      </c>
      <c r="Z8" s="15">
        <f t="shared" si="3"/>
        <v>0.53191011235955055</v>
      </c>
    </row>
    <row r="9" spans="1:26" ht="15" customHeight="1" x14ac:dyDescent="0.3">
      <c r="A9" s="7">
        <f>Planilha1!A9</f>
        <v>6</v>
      </c>
      <c r="B9" s="7" t="str">
        <f>Planilha1!B9</f>
        <v>Chaveiro Clic vaso Gato</v>
      </c>
      <c r="C9" s="18">
        <f>Planilha1!C9</f>
        <v>4.7300000000000004</v>
      </c>
      <c r="D9" s="18">
        <f>C9+Parametros!$B$7</f>
        <v>5.73</v>
      </c>
      <c r="E9" s="19">
        <f>IF(Parametros!$B$8=1,CEILING(D9/(1-Parametros!$B$9-Parametros!$B$6)+0.1,1)-0.1,ROUNDUP(D9/(1-Parametros!$B$9-Parametros!$B$6),2))</f>
        <v>12.9</v>
      </c>
      <c r="F9" s="18">
        <f>IF((1-Parametros!$D$15-Parametros!$B$12-Parametros!$B$6-Parametros!$B$5-Parametros!$F$15)&lt;=0,1000000000,MAX(Parametros!$B$15,(D9+Parametros!$E$15+Parametros!$B$13)/(1-Parametros!$D$15-Parametros!$B$12-Parametros!$B$6-Parametros!$B$5-Parametros!$F$15)))</f>
        <v>47.75000000000005</v>
      </c>
      <c r="G9" s="18">
        <f>IF((1-Parametros!$D$16-Parametros!$B$12-Parametros!$B$6-Parametros!$B$5-Parametros!$F$16)&lt;=0,1000000000,MAX(Parametros!$B$16,(D9+Parametros!$E$16+Parametros!$B$13)/(1-Parametros!$D$16-Parametros!$B$12-Parametros!$B$6-Parametros!$B$5-Parametros!$F$16)))</f>
        <v>19.322580645161295</v>
      </c>
      <c r="H9" s="18">
        <f>IF((1-Parametros!$D$17-Parametros!$B$12-Parametros!$B$6-Parametros!$B$5-Parametros!$F$17)&lt;=0,1000000000,MAX(Parametros!$B$17,(D9+Parametros!$E$17+Parametros!$B$13)/(1-Parametros!$D$17-Parametros!$B$12-Parametros!$B$6-Parametros!$B$5-Parametros!$F$17)))</f>
        <v>29</v>
      </c>
      <c r="I9" s="18">
        <f>IF((1-Parametros!$D$18-Parametros!$B$12-Parametros!$B$6-Parametros!$B$5-Parametros!$F$18)&lt;=0,1000000000,MAX(Parametros!$B$18,(D9+Parametros!$E$18+Parametros!$B$13)/(1-Parametros!$D$18-Parametros!$B$12-Parametros!$B$6-Parametros!$B$5-Parametros!$F$18)))</f>
        <v>50</v>
      </c>
      <c r="J9" s="18">
        <f>IF((1-Parametros!$D$19-Parametros!$B$12-Parametros!$B$6-Parametros!$B$5-Parametros!$F$19)&lt;=0,1000000000,MAX(Parametros!$B$19,(D9+Parametros!$E$19+Parametros!$B$13)/(1-Parametros!$D$19-Parametros!$B$12-Parametros!$B$6-Parametros!$B$5-Parametros!$F$19)))</f>
        <v>79</v>
      </c>
      <c r="K9" s="19">
        <f>IF(Parametros!$B$8=1,CEILING(IF(F9&lt;Parametros!$C$15,F9,IF(G9&lt;Parametros!$C$16,G9,IF(H9&lt;Parametros!$C$17,H9,IF(I9&lt;Parametros!$C$18,I9,J9))))+0.1,1)-0.1,ROUNDUP(IF(F9&lt;Parametros!$C$15,F9,IF(G9&lt;Parametros!$C$16,G9,IF(H9&lt;Parametros!$C$17,H9,IF(I9&lt;Parametros!$C$18,I9,J9)))),2))</f>
        <v>19.899999999999999</v>
      </c>
      <c r="L9" s="18">
        <f>K9-K9*(INDEX(Parametros!$D$15:$D$19,MATCH(K9,Parametros!$B$15:$B$19,1))+Parametros!$B$12+Parametros!$B$6+INDEX(Parametros!$F$15:$F$19,MATCH(K9,Parametros!$B$15:$B$19,1)))-INDEX(Parametros!$E$15:$E$19,MATCH(K9,Parametros!$B$15:$B$19,1))-Parametros!$B$13-D9</f>
        <v>4.3379999999999974</v>
      </c>
      <c r="M9" s="15">
        <f t="shared" si="0"/>
        <v>0.21798994974874361</v>
      </c>
      <c r="N9" s="18">
        <f>IF((1-Parametros!$D$26-Parametros!$B$23-Parametros!$B$6-Parametros!$B$5-Parametros!$F$26)&lt;=0,1000000000,MAX(Parametros!$B$26,(D9+Parametros!$E$26+Parametros!$B$24)/(1-Parametros!$D$26-Parametros!$B$23-Parametros!$B$6-Parametros!$B$5-Parametros!$F$26)))</f>
        <v>95.499999999999929</v>
      </c>
      <c r="O9" s="18">
        <f>IF((1-Parametros!$D$27-Parametros!$B$23-Parametros!$B$6-Parametros!$B$5-Parametros!$F$27)&lt;=0,1000000000,MAX(Parametros!$B$27,(D9+Parametros!$E$27+Parametros!$B$24)/(1-Parametros!$D$27-Parametros!$B$23-Parametros!$B$6-Parametros!$B$5-Parametros!$F$27)))</f>
        <v>17.375</v>
      </c>
      <c r="P9" s="19">
        <f>IF(Parametros!$B$8=1,CEILING(IF(N9&lt;Parametros!$C$26,N9,O9)+0.1,1)-0.1,ROUNDUP(IF(N9&lt;Parametros!$C$26,N9,O9),2))</f>
        <v>17.899999999999999</v>
      </c>
      <c r="Q9" s="18">
        <f>P9-P9*(INDEX(Parametros!$D$26:$D$27,MATCH(P9,Parametros!$B$26:$B$27,1))+Parametros!$B$23+Parametros!$B$6+INDEX(Parametros!$F$26:$F$27,MATCH(P9,Parametros!$B$26:$B$27,1)))-INDEX(Parametros!$E$26:$E$27,MATCH(P9,Parametros!$B$26:$B$27,1))-Parametros!$B$24-D9</f>
        <v>3.8739999999999988</v>
      </c>
      <c r="R9" s="15">
        <f t="shared" si="1"/>
        <v>0.21642458100558654</v>
      </c>
      <c r="S9" s="18">
        <f>IF((1-Parametros!$D$33-Parametros!$B$30-Parametros!$B$6-Parametros!$B$5-Parametros!$F$33)&lt;=0,1000000000,MAX(Parametros!$B$33,(D9+Parametros!$E$33+Parametros!$B$31)/(1-Parametros!$D$33-Parametros!$B$30-Parametros!$B$6-Parametros!$B$5-Parametros!$F$33)))</f>
        <v>14.742424242424244</v>
      </c>
      <c r="T9" s="18">
        <f>IF((1-Parametros!$D$34-Parametros!$B$30-Parametros!$B$6-Parametros!$B$5-Parametros!$F$34)&lt;=0,1000000000,MAX(Parametros!$B$34,(D9+Parametros!$E$34+Parametros!$B$31)/(1-Parametros!$D$34-Parametros!$B$30-Parametros!$B$6-Parametros!$B$5-Parametros!$F$34)))</f>
        <v>50</v>
      </c>
      <c r="U9" s="19">
        <f>IF(Parametros!$B$8=1,CEILING(IF(S9&lt;Parametros!$C$33,S9,T9)+0.1,1)-0.1,ROUNDUP(IF(S9&lt;Parametros!$C$33,S9,T9),2))</f>
        <v>14.9</v>
      </c>
      <c r="V9" s="18">
        <f>U9-U9*(INDEX(Parametros!$D$33:$D$34,MATCH(U9,Parametros!$B$33:$B$34,1))+Parametros!$B$30+Parametros!$B$6+INDEX(Parametros!$F$33:$F$34,MATCH(U9,Parametros!$B$33:$B$34,1)))-INDEX(Parametros!$E$33:$E$34,MATCH(U9,Parametros!$B$33:$B$34,1))-Parametros!$B$31-D9</f>
        <v>3.0839999999999996</v>
      </c>
      <c r="W9" s="15">
        <f t="shared" si="2"/>
        <v>0.20697986577181204</v>
      </c>
      <c r="X9" s="19">
        <f>IF(Parametros!$B$8=1,CEILING((D9+Parametros!$B$39)/(1-Parametros!$B$37-Parametros!$B$38-Parametros!$B$6-Parametros!$B$9)+0.1,1)-0.1,ROUNDUP((D9+Parametros!$B$39)/(1-Parametros!$B$37-Parametros!$B$38-Parametros!$B$6-Parametros!$B$9),2))</f>
        <v>12.9</v>
      </c>
      <c r="Y9" s="18">
        <f>X9-X9*(Parametros!$B$37+Parametros!$B$38+Parametros!$B$6)-Parametros!$B$39-D9</f>
        <v>6.6539999999999999</v>
      </c>
      <c r="Z9" s="15">
        <f t="shared" si="3"/>
        <v>0.51581395348837211</v>
      </c>
    </row>
    <row r="10" spans="1:26" ht="15" customHeight="1" x14ac:dyDescent="0.3">
      <c r="A10" s="7">
        <f>Planilha1!A10</f>
        <v>7</v>
      </c>
      <c r="B10" s="7" t="str">
        <f>Planilha1!B10</f>
        <v>Chaveiro 4 em 1 (NFC, lata, suporte, chaveiro)</v>
      </c>
      <c r="C10" s="18">
        <f>Planilha1!C10</f>
        <v>5.6</v>
      </c>
      <c r="D10" s="18">
        <f>C10+Parametros!$B$7</f>
        <v>6.6</v>
      </c>
      <c r="E10" s="19">
        <f>IF(Parametros!$B$8=1,CEILING(D10/(1-Parametros!$B$9-Parametros!$B$6)+0.1,1)-0.1,ROUNDUP(D10/(1-Parametros!$B$9-Parametros!$B$6),2))</f>
        <v>14.9</v>
      </c>
      <c r="F10" s="18">
        <f>IF((1-Parametros!$D$15-Parametros!$B$12-Parametros!$B$6-Parametros!$B$5-Parametros!$F$15)&lt;=0,1000000000,MAX(Parametros!$B$15,(D10+Parametros!$E$15+Parametros!$B$13)/(1-Parametros!$D$15-Parametros!$B$12-Parametros!$B$6-Parametros!$B$5-Parametros!$F$15)))</f>
        <v>55.00000000000005</v>
      </c>
      <c r="G10" s="18">
        <f>IF((1-Parametros!$D$16-Parametros!$B$12-Parametros!$B$6-Parametros!$B$5-Parametros!$F$16)&lt;=0,1000000000,MAX(Parametros!$B$16,(D10+Parametros!$E$16+Parametros!$B$13)/(1-Parametros!$D$16-Parametros!$B$12-Parametros!$B$6-Parametros!$B$5-Parametros!$F$16)))</f>
        <v>20.725806451612907</v>
      </c>
      <c r="H10" s="18">
        <f>IF((1-Parametros!$D$17-Parametros!$B$12-Parametros!$B$6-Parametros!$B$5-Parametros!$F$17)&lt;=0,1000000000,MAX(Parametros!$B$17,(D10+Parametros!$E$17+Parametros!$B$13)/(1-Parametros!$D$17-Parametros!$B$12-Parametros!$B$6-Parametros!$B$5-Parametros!$F$17)))</f>
        <v>29</v>
      </c>
      <c r="I10" s="18">
        <f>IF((1-Parametros!$D$18-Parametros!$B$12-Parametros!$B$6-Parametros!$B$5-Parametros!$F$18)&lt;=0,1000000000,MAX(Parametros!$B$18,(D10+Parametros!$E$18+Parametros!$B$13)/(1-Parametros!$D$18-Parametros!$B$12-Parametros!$B$6-Parametros!$B$5-Parametros!$F$18)))</f>
        <v>50</v>
      </c>
      <c r="J10" s="18">
        <f>IF((1-Parametros!$D$19-Parametros!$B$12-Parametros!$B$6-Parametros!$B$5-Parametros!$F$19)&lt;=0,1000000000,MAX(Parametros!$B$19,(D10+Parametros!$E$19+Parametros!$B$13)/(1-Parametros!$D$19-Parametros!$B$12-Parametros!$B$6-Parametros!$B$5-Parametros!$F$19)))</f>
        <v>79</v>
      </c>
      <c r="K10" s="19">
        <f>IF(Parametros!$B$8=1,CEILING(IF(F10&lt;Parametros!$C$15,F10,IF(G10&lt;Parametros!$C$16,G10,IF(H10&lt;Parametros!$C$17,H10,IF(I10&lt;Parametros!$C$18,I10,J10))))+0.1,1)-0.1,ROUNDUP(IF(F10&lt;Parametros!$C$15,F10,IF(G10&lt;Parametros!$C$16,G10,IF(H10&lt;Parametros!$C$17,H10,IF(I10&lt;Parametros!$C$18,I10,J10)))),2))</f>
        <v>20.9</v>
      </c>
      <c r="L10" s="18">
        <f>K10-K10*(INDEX(Parametros!$D$15:$D$19,MATCH(K10,Parametros!$B$15:$B$19,1))+Parametros!$B$12+Parametros!$B$6+INDEX(Parametros!$F$15:$F$19,MATCH(K10,Parametros!$B$15:$B$19,1)))-INDEX(Parametros!$E$15:$E$19,MATCH(K10,Parametros!$B$15:$B$19,1))-Parametros!$B$13-D10</f>
        <v>4.2879999999999985</v>
      </c>
      <c r="M10" s="15">
        <f t="shared" si="0"/>
        <v>0.20516746411483247</v>
      </c>
      <c r="N10" s="18">
        <f>IF((1-Parametros!$D$26-Parametros!$B$23-Parametros!$B$6-Parametros!$B$5-Parametros!$F$26)&lt;=0,1000000000,MAX(Parametros!$B$26,(D10+Parametros!$E$26+Parametros!$B$24)/(1-Parametros!$D$26-Parametros!$B$23-Parametros!$B$6-Parametros!$B$5-Parametros!$F$26)))</f>
        <v>109.9999999999999</v>
      </c>
      <c r="O10" s="18">
        <f>IF((1-Parametros!$D$27-Parametros!$B$23-Parametros!$B$6-Parametros!$B$5-Parametros!$F$27)&lt;=0,1000000000,MAX(Parametros!$B$27,(D10+Parametros!$E$27+Parametros!$B$24)/(1-Parametros!$D$27-Parametros!$B$23-Parametros!$B$6-Parametros!$B$5-Parametros!$F$27)))</f>
        <v>18.928571428571427</v>
      </c>
      <c r="P10" s="19">
        <f>IF(Parametros!$B$8=1,CEILING(IF(N10&lt;Parametros!$C$26,N10,O10)+0.1,1)-0.1,ROUNDUP(IF(N10&lt;Parametros!$C$26,N10,O10),2))</f>
        <v>19.899999999999999</v>
      </c>
      <c r="Q10" s="18">
        <f>P10-P10*(INDEX(Parametros!$D$26:$D$27,MATCH(P10,Parametros!$B$26:$B$27,1))+Parametros!$B$23+Parametros!$B$6+INDEX(Parametros!$F$26:$F$27,MATCH(P10,Parametros!$B$26:$B$27,1)))-INDEX(Parametros!$E$26:$E$27,MATCH(P10,Parametros!$B$26:$B$27,1))-Parametros!$B$24-D10</f>
        <v>4.5239999999999991</v>
      </c>
      <c r="R10" s="15">
        <f t="shared" si="1"/>
        <v>0.22733668341708541</v>
      </c>
      <c r="S10" s="18">
        <f>IF((1-Parametros!$D$33-Parametros!$B$30-Parametros!$B$6-Parametros!$B$5-Parametros!$F$33)&lt;=0,1000000000,MAX(Parametros!$B$33,(D10+Parametros!$E$33+Parametros!$B$31)/(1-Parametros!$D$33-Parametros!$B$30-Parametros!$B$6-Parametros!$B$5-Parametros!$F$33)))</f>
        <v>16.060606060606062</v>
      </c>
      <c r="T10" s="18">
        <f>IF((1-Parametros!$D$34-Parametros!$B$30-Parametros!$B$6-Parametros!$B$5-Parametros!$F$34)&lt;=0,1000000000,MAX(Parametros!$B$34,(D10+Parametros!$E$34+Parametros!$B$31)/(1-Parametros!$D$34-Parametros!$B$30-Parametros!$B$6-Parametros!$B$5-Parametros!$F$34)))</f>
        <v>50</v>
      </c>
      <c r="U10" s="19">
        <f>IF(Parametros!$B$8=1,CEILING(IF(S10&lt;Parametros!$C$33,S10,T10)+0.1,1)-0.1,ROUNDUP(IF(S10&lt;Parametros!$C$33,S10,T10),2))</f>
        <v>16.899999999999999</v>
      </c>
      <c r="V10" s="18">
        <f>U10-U10*(INDEX(Parametros!$D$33:$D$34,MATCH(U10,Parametros!$B$33:$B$34,1))+Parametros!$B$30+Parametros!$B$6+INDEX(Parametros!$F$33:$F$34,MATCH(U10,Parametros!$B$33:$B$34,1)))-INDEX(Parametros!$E$33:$E$34,MATCH(U10,Parametros!$B$33:$B$34,1))-Parametros!$B$31-D10</f>
        <v>3.9339999999999993</v>
      </c>
      <c r="W10" s="15">
        <f t="shared" si="2"/>
        <v>0.23278106508875737</v>
      </c>
      <c r="X10" s="19">
        <f>IF(Parametros!$B$8=1,CEILING((D10+Parametros!$B$39)/(1-Parametros!$B$37-Parametros!$B$38-Parametros!$B$6-Parametros!$B$9)+0.1,1)-0.1,ROUNDUP((D10+Parametros!$B$39)/(1-Parametros!$B$37-Parametros!$B$38-Parametros!$B$6-Parametros!$B$9),2))</f>
        <v>14.9</v>
      </c>
      <c r="Y10" s="18">
        <f>X10-X10*(Parametros!$B$37+Parametros!$B$38+Parametros!$B$6)-Parametros!$B$39-D10</f>
        <v>7.7040000000000006</v>
      </c>
      <c r="Z10" s="15">
        <f t="shared" si="3"/>
        <v>0.51704697986577186</v>
      </c>
    </row>
    <row r="11" spans="1:26" ht="15" customHeight="1" x14ac:dyDescent="0.3">
      <c r="A11" s="7">
        <f>Planilha1!A11</f>
        <v>8</v>
      </c>
      <c r="B11" s="7" t="str">
        <f>Planilha1!B11</f>
        <v>Chaveiro abre lata pet</v>
      </c>
      <c r="C11" s="18">
        <f>Planilha1!C11</f>
        <v>2.76</v>
      </c>
      <c r="D11" s="18">
        <f>C11+Parametros!$B$7</f>
        <v>3.76</v>
      </c>
      <c r="E11" s="19">
        <f>IF(Parametros!$B$8=1,CEILING(D11/(1-Parametros!$B$9-Parametros!$B$6)+0.1,1)-0.1,ROUNDUP(D11/(1-Parametros!$B$9-Parametros!$B$6),2))</f>
        <v>8.9</v>
      </c>
      <c r="F11" s="18">
        <f>IF((1-Parametros!$D$15-Parametros!$B$12-Parametros!$B$6-Parametros!$B$5-Parametros!$F$15)&lt;=0,1000000000,MAX(Parametros!$B$15,(D11+Parametros!$E$15+Parametros!$B$13)/(1-Parametros!$D$15-Parametros!$B$12-Parametros!$B$6-Parametros!$B$5-Parametros!$F$15)))</f>
        <v>31.333333333333361</v>
      </c>
      <c r="G11" s="18">
        <f>IF((1-Parametros!$D$16-Parametros!$B$12-Parametros!$B$6-Parametros!$B$5-Parametros!$F$16)&lt;=0,1000000000,MAX(Parametros!$B$16,(D11+Parametros!$E$16+Parametros!$B$13)/(1-Parametros!$D$16-Parametros!$B$12-Parametros!$B$6-Parametros!$B$5-Parametros!$F$16)))</f>
        <v>16.145161290322584</v>
      </c>
      <c r="H11" s="18">
        <f>IF((1-Parametros!$D$17-Parametros!$B$12-Parametros!$B$6-Parametros!$B$5-Parametros!$F$17)&lt;=0,1000000000,MAX(Parametros!$B$17,(D11+Parametros!$E$17+Parametros!$B$13)/(1-Parametros!$D$17-Parametros!$B$12-Parametros!$B$6-Parametros!$B$5-Parametros!$F$17)))</f>
        <v>29</v>
      </c>
      <c r="I11" s="18">
        <f>IF((1-Parametros!$D$18-Parametros!$B$12-Parametros!$B$6-Parametros!$B$5-Parametros!$F$18)&lt;=0,1000000000,MAX(Parametros!$B$18,(D11+Parametros!$E$18+Parametros!$B$13)/(1-Parametros!$D$18-Parametros!$B$12-Parametros!$B$6-Parametros!$B$5-Parametros!$F$18)))</f>
        <v>50</v>
      </c>
      <c r="J11" s="18">
        <f>IF((1-Parametros!$D$19-Parametros!$B$12-Parametros!$B$6-Parametros!$B$5-Parametros!$F$19)&lt;=0,1000000000,MAX(Parametros!$B$19,(D11+Parametros!$E$19+Parametros!$B$13)/(1-Parametros!$D$19-Parametros!$B$12-Parametros!$B$6-Parametros!$B$5-Parametros!$F$19)))</f>
        <v>79</v>
      </c>
      <c r="K11" s="19">
        <f>IF(Parametros!$B$8=1,CEILING(IF(F11&lt;Parametros!$C$15,F11,IF(G11&lt;Parametros!$C$16,G11,IF(H11&lt;Parametros!$C$17,H11,IF(I11&lt;Parametros!$C$18,I11,J11))))+0.1,1)-0.1,ROUNDUP(IF(F11&lt;Parametros!$C$15,F11,IF(G11&lt;Parametros!$C$16,G11,IF(H11&lt;Parametros!$C$17,H11,IF(I11&lt;Parametros!$C$18,I11,J11)))),2))</f>
        <v>16.899999999999999</v>
      </c>
      <c r="L11" s="18">
        <f>K11-K11*(INDEX(Parametros!$D$15:$D$19,MATCH(K11,Parametros!$B$15:$B$19,1))+Parametros!$B$12+Parametros!$B$6+INDEX(Parametros!$F$15:$F$19,MATCH(K11,Parametros!$B$15:$B$19,1)))-INDEX(Parametros!$E$15:$E$19,MATCH(K11,Parametros!$B$15:$B$19,1))-Parametros!$B$13-D11</f>
        <v>3.847999999999999</v>
      </c>
      <c r="M11" s="15">
        <f t="shared" si="0"/>
        <v>0.22769230769230764</v>
      </c>
      <c r="N11" s="18">
        <f>IF((1-Parametros!$D$26-Parametros!$B$23-Parametros!$B$6-Parametros!$B$5-Parametros!$F$26)&lt;=0,1000000000,MAX(Parametros!$B$26,(D11+Parametros!$E$26+Parametros!$B$24)/(1-Parametros!$D$26-Parametros!$B$23-Parametros!$B$6-Parametros!$B$5-Parametros!$F$26)))</f>
        <v>62.666666666666607</v>
      </c>
      <c r="O11" s="18">
        <f>IF((1-Parametros!$D$27-Parametros!$B$23-Parametros!$B$6-Parametros!$B$5-Parametros!$F$27)&lt;=0,1000000000,MAX(Parametros!$B$27,(D11+Parametros!$E$27+Parametros!$B$24)/(1-Parametros!$D$27-Parametros!$B$23-Parametros!$B$6-Parametros!$B$5-Parametros!$F$27)))</f>
        <v>13.857142857142856</v>
      </c>
      <c r="P11" s="19">
        <f>IF(Parametros!$B$8=1,CEILING(IF(N11&lt;Parametros!$C$26,N11,O11)+0.1,1)-0.1,ROUNDUP(IF(N11&lt;Parametros!$C$26,N11,O11),2))</f>
        <v>13.9</v>
      </c>
      <c r="Q11" s="18">
        <f>P11-P11*(INDEX(Parametros!$D$26:$D$27,MATCH(P11,Parametros!$B$26:$B$27,1))+Parametros!$B$23+Parametros!$B$6+INDEX(Parametros!$F$26:$F$27,MATCH(P11,Parametros!$B$26:$B$27,1)))-INDEX(Parametros!$E$26:$E$27,MATCH(P11,Parametros!$B$26:$B$27,1))-Parametros!$B$24-D11</f>
        <v>2.8040000000000003</v>
      </c>
      <c r="R11" s="15">
        <f t="shared" si="1"/>
        <v>0.201726618705036</v>
      </c>
      <c r="S11" s="18">
        <f>IF((1-Parametros!$D$33-Parametros!$B$30-Parametros!$B$6-Parametros!$B$5-Parametros!$F$33)&lt;=0,1000000000,MAX(Parametros!$B$33,(D11+Parametros!$E$33+Parametros!$B$31)/(1-Parametros!$D$33-Parametros!$B$30-Parametros!$B$6-Parametros!$B$5-Parametros!$F$33)))</f>
        <v>11.757575757575758</v>
      </c>
      <c r="T11" s="18">
        <f>IF((1-Parametros!$D$34-Parametros!$B$30-Parametros!$B$6-Parametros!$B$5-Parametros!$F$34)&lt;=0,1000000000,MAX(Parametros!$B$34,(D11+Parametros!$E$34+Parametros!$B$31)/(1-Parametros!$D$34-Parametros!$B$30-Parametros!$B$6-Parametros!$B$5-Parametros!$F$34)))</f>
        <v>50</v>
      </c>
      <c r="U11" s="19">
        <f>IF(Parametros!$B$8=1,CEILING(IF(S11&lt;Parametros!$C$33,S11,T11)+0.1,1)-0.1,ROUNDUP(IF(S11&lt;Parametros!$C$33,S11,T11),2))</f>
        <v>11.9</v>
      </c>
      <c r="V11" s="18">
        <f>U11-U11*(INDEX(Parametros!$D$33:$D$34,MATCH(U11,Parametros!$B$33:$B$34,1))+Parametros!$B$30+Parametros!$B$6+INDEX(Parametros!$F$33:$F$34,MATCH(U11,Parametros!$B$33:$B$34,1)))-INDEX(Parametros!$E$33:$E$34,MATCH(U11,Parametros!$B$33:$B$34,1))-Parametros!$B$31-D11</f>
        <v>2.4740000000000002</v>
      </c>
      <c r="W11" s="15">
        <f t="shared" si="2"/>
        <v>0.20789915966386555</v>
      </c>
      <c r="X11" s="19">
        <f>IF(Parametros!$B$8=1,CEILING((D11+Parametros!$B$39)/(1-Parametros!$B$37-Parametros!$B$38-Parametros!$B$6-Parametros!$B$9)+0.1,1)-0.1,ROUNDUP((D11+Parametros!$B$39)/(1-Parametros!$B$37-Parametros!$B$38-Parametros!$B$6-Parametros!$B$9),2))</f>
        <v>8.9</v>
      </c>
      <c r="Y11" s="18">
        <f>X11-X11*(Parametros!$B$37+Parametros!$B$38+Parametros!$B$6)-Parametros!$B$39-D11</f>
        <v>4.7840000000000007</v>
      </c>
      <c r="Z11" s="15">
        <f t="shared" si="3"/>
        <v>0.53752808988764056</v>
      </c>
    </row>
    <row r="12" spans="1:26" ht="15" customHeight="1" x14ac:dyDescent="0.3">
      <c r="A12" s="7">
        <f>Planilha1!A12</f>
        <v>9</v>
      </c>
      <c r="B12" s="7" t="str">
        <f>Planilha1!B12</f>
        <v xml:space="preserve">Chaveiro Gato Soco Ingles </v>
      </c>
      <c r="C12" s="18">
        <f>Planilha1!C12</f>
        <v>3.12</v>
      </c>
      <c r="D12" s="18">
        <f>C12+Parametros!$B$7</f>
        <v>4.12</v>
      </c>
      <c r="E12" s="19">
        <f>IF(Parametros!$B$8=1,CEILING(D12/(1-Parametros!$B$9-Parametros!$B$6)+0.1,1)-0.1,ROUNDUP(D12/(1-Parametros!$B$9-Parametros!$B$6),2))</f>
        <v>9.9</v>
      </c>
      <c r="F12" s="18">
        <f>IF((1-Parametros!$D$15-Parametros!$B$12-Parametros!$B$6-Parametros!$B$5-Parametros!$F$15)&lt;=0,1000000000,MAX(Parametros!$B$15,(D12+Parametros!$E$15+Parametros!$B$13)/(1-Parametros!$D$15-Parametros!$B$12-Parametros!$B$6-Parametros!$B$5-Parametros!$F$15)))</f>
        <v>34.333333333333364</v>
      </c>
      <c r="G12" s="18">
        <f>IF((1-Parametros!$D$16-Parametros!$B$12-Parametros!$B$6-Parametros!$B$5-Parametros!$F$16)&lt;=0,1000000000,MAX(Parametros!$B$16,(D12+Parametros!$E$16+Parametros!$B$13)/(1-Parametros!$D$16-Parametros!$B$12-Parametros!$B$6-Parametros!$B$5-Parametros!$F$16)))</f>
        <v>16.725806451612907</v>
      </c>
      <c r="H12" s="18">
        <f>IF((1-Parametros!$D$17-Parametros!$B$12-Parametros!$B$6-Parametros!$B$5-Parametros!$F$17)&lt;=0,1000000000,MAX(Parametros!$B$17,(D12+Parametros!$E$17+Parametros!$B$13)/(1-Parametros!$D$17-Parametros!$B$12-Parametros!$B$6-Parametros!$B$5-Parametros!$F$17)))</f>
        <v>29</v>
      </c>
      <c r="I12" s="18">
        <f>IF((1-Parametros!$D$18-Parametros!$B$12-Parametros!$B$6-Parametros!$B$5-Parametros!$F$18)&lt;=0,1000000000,MAX(Parametros!$B$18,(D12+Parametros!$E$18+Parametros!$B$13)/(1-Parametros!$D$18-Parametros!$B$12-Parametros!$B$6-Parametros!$B$5-Parametros!$F$18)))</f>
        <v>50</v>
      </c>
      <c r="J12" s="18">
        <f>IF((1-Parametros!$D$19-Parametros!$B$12-Parametros!$B$6-Parametros!$B$5-Parametros!$F$19)&lt;=0,1000000000,MAX(Parametros!$B$19,(D12+Parametros!$E$19+Parametros!$B$13)/(1-Parametros!$D$19-Parametros!$B$12-Parametros!$B$6-Parametros!$B$5-Parametros!$F$19)))</f>
        <v>79</v>
      </c>
      <c r="K12" s="19">
        <f>IF(Parametros!$B$8=1,CEILING(IF(F12&lt;Parametros!$C$15,F12,IF(G12&lt;Parametros!$C$16,G12,IF(H12&lt;Parametros!$C$17,H12,IF(I12&lt;Parametros!$C$18,I12,J12))))+0.1,1)-0.1,ROUNDUP(IF(F12&lt;Parametros!$C$15,F12,IF(G12&lt;Parametros!$C$16,G12,IF(H12&lt;Parametros!$C$17,H12,IF(I12&lt;Parametros!$C$18,I12,J12)))),2))</f>
        <v>16.899999999999999</v>
      </c>
      <c r="L12" s="18">
        <f>K12-K12*(INDEX(Parametros!$D$15:$D$19,MATCH(K12,Parametros!$B$15:$B$19,1))+Parametros!$B$12+Parametros!$B$6+INDEX(Parametros!$F$15:$F$19,MATCH(K12,Parametros!$B$15:$B$19,1)))-INDEX(Parametros!$E$15:$E$19,MATCH(K12,Parametros!$B$15:$B$19,1))-Parametros!$B$13-D12</f>
        <v>3.4879999999999987</v>
      </c>
      <c r="M12" s="15">
        <f t="shared" si="0"/>
        <v>0.20639053254437864</v>
      </c>
      <c r="N12" s="18">
        <f>IF((1-Parametros!$D$26-Parametros!$B$23-Parametros!$B$6-Parametros!$B$5-Parametros!$F$26)&lt;=0,1000000000,MAX(Parametros!$B$26,(D12+Parametros!$E$26+Parametros!$B$24)/(1-Parametros!$D$26-Parametros!$B$23-Parametros!$B$6-Parametros!$B$5-Parametros!$F$26)))</f>
        <v>68.6666666666666</v>
      </c>
      <c r="O12" s="18">
        <f>IF((1-Parametros!$D$27-Parametros!$B$23-Parametros!$B$6-Parametros!$B$5-Parametros!$F$27)&lt;=0,1000000000,MAX(Parametros!$B$27,(D12+Parametros!$E$27+Parametros!$B$24)/(1-Parametros!$D$27-Parametros!$B$23-Parametros!$B$6-Parametros!$B$5-Parametros!$F$27)))</f>
        <v>14.5</v>
      </c>
      <c r="P12" s="19">
        <f>IF(Parametros!$B$8=1,CEILING(IF(N12&lt;Parametros!$C$26,N12,O12)+0.1,1)-0.1,ROUNDUP(IF(N12&lt;Parametros!$C$26,N12,O12),2))</f>
        <v>14.9</v>
      </c>
      <c r="Q12" s="18">
        <f>P12-P12*(INDEX(Parametros!$D$26:$D$27,MATCH(P12,Parametros!$B$26:$B$27,1))+Parametros!$B$23+Parametros!$B$6+INDEX(Parametros!$F$26:$F$27,MATCH(P12,Parametros!$B$26:$B$27,1)))-INDEX(Parametros!$E$26:$E$27,MATCH(P12,Parametros!$B$26:$B$27,1))-Parametros!$B$24-D12</f>
        <v>3.2039999999999997</v>
      </c>
      <c r="R12" s="15">
        <f t="shared" si="1"/>
        <v>0.21503355704697985</v>
      </c>
      <c r="S12" s="18">
        <f>IF((1-Parametros!$D$33-Parametros!$B$30-Parametros!$B$6-Parametros!$B$5-Parametros!$F$33)&lt;=0,1000000000,MAX(Parametros!$B$33,(D12+Parametros!$E$33+Parametros!$B$31)/(1-Parametros!$D$33-Parametros!$B$30-Parametros!$B$6-Parametros!$B$5-Parametros!$F$33)))</f>
        <v>12.303030303030306</v>
      </c>
      <c r="T12" s="18">
        <f>IF((1-Parametros!$D$34-Parametros!$B$30-Parametros!$B$6-Parametros!$B$5-Parametros!$F$34)&lt;=0,1000000000,MAX(Parametros!$B$34,(D12+Parametros!$E$34+Parametros!$B$31)/(1-Parametros!$D$34-Parametros!$B$30-Parametros!$B$6-Parametros!$B$5-Parametros!$F$34)))</f>
        <v>50</v>
      </c>
      <c r="U12" s="19">
        <f>IF(Parametros!$B$8=1,CEILING(IF(S12&lt;Parametros!$C$33,S12,T12)+0.1,1)-0.1,ROUNDUP(IF(S12&lt;Parametros!$C$33,S12,T12),2))</f>
        <v>12.9</v>
      </c>
      <c r="V12" s="18">
        <f>U12-U12*(INDEX(Parametros!$D$33:$D$34,MATCH(U12,Parametros!$B$33:$B$34,1))+Parametros!$B$30+Parametros!$B$6+INDEX(Parametros!$F$33:$F$34,MATCH(U12,Parametros!$B$33:$B$34,1)))-INDEX(Parametros!$E$33:$E$34,MATCH(U12,Parametros!$B$33:$B$34,1))-Parametros!$B$31-D12</f>
        <v>2.9739999999999993</v>
      </c>
      <c r="W12" s="15">
        <f t="shared" si="2"/>
        <v>0.23054263565891467</v>
      </c>
      <c r="X12" s="19">
        <f>IF(Parametros!$B$8=1,CEILING((D12+Parametros!$B$39)/(1-Parametros!$B$37-Parametros!$B$38-Parametros!$B$6-Parametros!$B$9)+0.1,1)-0.1,ROUNDUP((D12+Parametros!$B$39)/(1-Parametros!$B$37-Parametros!$B$38-Parametros!$B$6-Parametros!$B$9),2))</f>
        <v>9.9</v>
      </c>
      <c r="Y12" s="18">
        <f>X12-X12*(Parametros!$B$37+Parametros!$B$38+Parametros!$B$6)-Parametros!$B$39-D12</f>
        <v>5.3839999999999995</v>
      </c>
      <c r="Z12" s="15">
        <f t="shared" si="3"/>
        <v>0.54383838383838379</v>
      </c>
    </row>
    <row r="13" spans="1:26" ht="15" customHeight="1" x14ac:dyDescent="0.3">
      <c r="A13" s="7">
        <f>Planilha1!A13</f>
        <v>10</v>
      </c>
      <c r="B13" s="7" t="str">
        <f>Planilha1!B13</f>
        <v>Chaveiro Gato Bravo</v>
      </c>
      <c r="C13" s="18">
        <f>Planilha1!C13</f>
        <v>2.4900000000000002</v>
      </c>
      <c r="D13" s="18">
        <f>C13+Parametros!$B$7</f>
        <v>3.49</v>
      </c>
      <c r="E13" s="19">
        <f>IF(Parametros!$B$8=1,CEILING(D13/(1-Parametros!$B$9-Parametros!$B$6)+0.1,1)-0.1,ROUNDUP(D13/(1-Parametros!$B$9-Parametros!$B$6),2))</f>
        <v>7.9</v>
      </c>
      <c r="F13" s="18">
        <f>IF((1-Parametros!$D$15-Parametros!$B$12-Parametros!$B$6-Parametros!$B$5-Parametros!$F$15)&lt;=0,1000000000,MAX(Parametros!$B$15,(D13+Parametros!$E$15+Parametros!$B$13)/(1-Parametros!$D$15-Parametros!$B$12-Parametros!$B$6-Parametros!$B$5-Parametros!$F$15)))</f>
        <v>29.083333333333364</v>
      </c>
      <c r="G13" s="18">
        <f>IF((1-Parametros!$D$16-Parametros!$B$12-Parametros!$B$6-Parametros!$B$5-Parametros!$F$16)&lt;=0,1000000000,MAX(Parametros!$B$16,(D13+Parametros!$E$16+Parametros!$B$13)/(1-Parametros!$D$16-Parametros!$B$12-Parametros!$B$6-Parametros!$B$5-Parametros!$F$16)))</f>
        <v>15.709677419354842</v>
      </c>
      <c r="H13" s="18">
        <f>IF((1-Parametros!$D$17-Parametros!$B$12-Parametros!$B$6-Parametros!$B$5-Parametros!$F$17)&lt;=0,1000000000,MAX(Parametros!$B$17,(D13+Parametros!$E$17+Parametros!$B$13)/(1-Parametros!$D$17-Parametros!$B$12-Parametros!$B$6-Parametros!$B$5-Parametros!$F$17)))</f>
        <v>29</v>
      </c>
      <c r="I13" s="18">
        <f>IF((1-Parametros!$D$18-Parametros!$B$12-Parametros!$B$6-Parametros!$B$5-Parametros!$F$18)&lt;=0,1000000000,MAX(Parametros!$B$18,(D13+Parametros!$E$18+Parametros!$B$13)/(1-Parametros!$D$18-Parametros!$B$12-Parametros!$B$6-Parametros!$B$5-Parametros!$F$18)))</f>
        <v>50</v>
      </c>
      <c r="J13" s="18">
        <f>IF((1-Parametros!$D$19-Parametros!$B$12-Parametros!$B$6-Parametros!$B$5-Parametros!$F$19)&lt;=0,1000000000,MAX(Parametros!$B$19,(D13+Parametros!$E$19+Parametros!$B$13)/(1-Parametros!$D$19-Parametros!$B$12-Parametros!$B$6-Parametros!$B$5-Parametros!$F$19)))</f>
        <v>79</v>
      </c>
      <c r="K13" s="19">
        <f>IF(Parametros!$B$8=1,CEILING(IF(F13&lt;Parametros!$C$15,F13,IF(G13&lt;Parametros!$C$16,G13,IF(H13&lt;Parametros!$C$17,H13,IF(I13&lt;Parametros!$C$18,I13,J13))))+0.1,1)-0.1,ROUNDUP(IF(F13&lt;Parametros!$C$15,F13,IF(G13&lt;Parametros!$C$16,G13,IF(H13&lt;Parametros!$C$17,H13,IF(I13&lt;Parametros!$C$18,I13,J13)))),2))</f>
        <v>15.9</v>
      </c>
      <c r="L13" s="18">
        <f>K13-K13*(INDEX(Parametros!$D$15:$D$19,MATCH(K13,Parametros!$B$15:$B$19,1))+Parametros!$B$12+Parametros!$B$6+INDEX(Parametros!$F$15:$F$19,MATCH(K13,Parametros!$B$15:$B$19,1)))-INDEX(Parametros!$E$15:$E$19,MATCH(K13,Parametros!$B$15:$B$19,1))-Parametros!$B$13-D13</f>
        <v>3.298</v>
      </c>
      <c r="M13" s="15">
        <f t="shared" si="0"/>
        <v>0.20742138364779875</v>
      </c>
      <c r="N13" s="18">
        <f>IF((1-Parametros!$D$26-Parametros!$B$23-Parametros!$B$6-Parametros!$B$5-Parametros!$F$26)&lt;=0,1000000000,MAX(Parametros!$B$26,(D13+Parametros!$E$26+Parametros!$B$24)/(1-Parametros!$D$26-Parametros!$B$23-Parametros!$B$6-Parametros!$B$5-Parametros!$F$26)))</f>
        <v>58.166666666666622</v>
      </c>
      <c r="O13" s="18">
        <f>IF((1-Parametros!$D$27-Parametros!$B$23-Parametros!$B$6-Parametros!$B$5-Parametros!$F$27)&lt;=0,1000000000,MAX(Parametros!$B$27,(D13+Parametros!$E$27+Parametros!$B$24)/(1-Parametros!$D$27-Parametros!$B$23-Parametros!$B$6-Parametros!$B$5-Parametros!$F$27)))</f>
        <v>13.374999999999998</v>
      </c>
      <c r="P13" s="19">
        <f>IF(Parametros!$B$8=1,CEILING(IF(N13&lt;Parametros!$C$26,N13,O13)+0.1,1)-0.1,ROUNDUP(IF(N13&lt;Parametros!$C$26,N13,O13),2))</f>
        <v>13.9</v>
      </c>
      <c r="Q13" s="18">
        <f>P13-P13*(INDEX(Parametros!$D$26:$D$27,MATCH(P13,Parametros!$B$26:$B$27,1))+Parametros!$B$23+Parametros!$B$6+INDEX(Parametros!$F$26:$F$27,MATCH(P13,Parametros!$B$26:$B$27,1)))-INDEX(Parametros!$E$26:$E$27,MATCH(P13,Parametros!$B$26:$B$27,1))-Parametros!$B$24-D13</f>
        <v>3.0739999999999998</v>
      </c>
      <c r="R13" s="15">
        <f t="shared" si="1"/>
        <v>0.22115107913669063</v>
      </c>
      <c r="S13" s="18">
        <f>IF((1-Parametros!$D$33-Parametros!$B$30-Parametros!$B$6-Parametros!$B$5-Parametros!$F$33)&lt;=0,1000000000,MAX(Parametros!$B$33,(D13+Parametros!$E$33+Parametros!$B$31)/(1-Parametros!$D$33-Parametros!$B$30-Parametros!$B$6-Parametros!$B$5-Parametros!$F$33)))</f>
        <v>11.34848484848485</v>
      </c>
      <c r="T13" s="18">
        <f>IF((1-Parametros!$D$34-Parametros!$B$30-Parametros!$B$6-Parametros!$B$5-Parametros!$F$34)&lt;=0,1000000000,MAX(Parametros!$B$34,(D13+Parametros!$E$34+Parametros!$B$31)/(1-Parametros!$D$34-Parametros!$B$30-Parametros!$B$6-Parametros!$B$5-Parametros!$F$34)))</f>
        <v>50</v>
      </c>
      <c r="U13" s="19">
        <f>IF(Parametros!$B$8=1,CEILING(IF(S13&lt;Parametros!$C$33,S13,T13)+0.1,1)-0.1,ROUNDUP(IF(S13&lt;Parametros!$C$33,S13,T13),2))</f>
        <v>11.9</v>
      </c>
      <c r="V13" s="18">
        <f>U13-U13*(INDEX(Parametros!$D$33:$D$34,MATCH(U13,Parametros!$B$33:$B$34,1))+Parametros!$B$30+Parametros!$B$6+INDEX(Parametros!$F$33:$F$34,MATCH(U13,Parametros!$B$33:$B$34,1)))-INDEX(Parametros!$E$33:$E$34,MATCH(U13,Parametros!$B$33:$B$34,1))-Parametros!$B$31-D13</f>
        <v>2.7439999999999998</v>
      </c>
      <c r="W13" s="15">
        <f t="shared" si="2"/>
        <v>0.23058823529411762</v>
      </c>
      <c r="X13" s="19">
        <f>IF(Parametros!$B$8=1,CEILING((D13+Parametros!$B$39)/(1-Parametros!$B$37-Parametros!$B$38-Parametros!$B$6-Parametros!$B$9)+0.1,1)-0.1,ROUNDUP((D13+Parametros!$B$39)/(1-Parametros!$B$37-Parametros!$B$38-Parametros!$B$6-Parametros!$B$9),2))</f>
        <v>7.9</v>
      </c>
      <c r="Y13" s="18">
        <f>X13-X13*(Parametros!$B$37+Parametros!$B$38+Parametros!$B$6)-Parametros!$B$39-D13</f>
        <v>4.0940000000000003</v>
      </c>
      <c r="Z13" s="15">
        <f t="shared" si="3"/>
        <v>0.51822784810126588</v>
      </c>
    </row>
    <row r="14" spans="1:26" ht="15" customHeight="1" x14ac:dyDescent="0.3">
      <c r="A14" s="7">
        <f>Planilha1!A14</f>
        <v>11</v>
      </c>
      <c r="B14" s="7" t="str">
        <f>Planilha1!B14</f>
        <v>Chaveiro Patinha fofa</v>
      </c>
      <c r="C14" s="18">
        <f>Planilha1!C14</f>
        <v>2.59</v>
      </c>
      <c r="D14" s="18">
        <f>C14+Parametros!$B$7</f>
        <v>3.59</v>
      </c>
      <c r="E14" s="19">
        <f>IF(Parametros!$B$8=1,CEILING(D14/(1-Parametros!$B$9-Parametros!$B$6)+0.1,1)-0.1,ROUNDUP(D14/(1-Parametros!$B$9-Parametros!$B$6),2))</f>
        <v>7.9</v>
      </c>
      <c r="F14" s="18">
        <f>IF((1-Parametros!$D$15-Parametros!$B$12-Parametros!$B$6-Parametros!$B$5-Parametros!$F$15)&lt;=0,1000000000,MAX(Parametros!$B$15,(D14+Parametros!$E$15+Parametros!$B$13)/(1-Parametros!$D$15-Parametros!$B$12-Parametros!$B$6-Parametros!$B$5-Parametros!$F$15)))</f>
        <v>29.916666666666693</v>
      </c>
      <c r="G14" s="18">
        <f>IF((1-Parametros!$D$16-Parametros!$B$12-Parametros!$B$6-Parametros!$B$5-Parametros!$F$16)&lt;=0,1000000000,MAX(Parametros!$B$16,(D14+Parametros!$E$16+Parametros!$B$13)/(1-Parametros!$D$16-Parametros!$B$12-Parametros!$B$6-Parametros!$B$5-Parametros!$F$16)))</f>
        <v>15.870967741935486</v>
      </c>
      <c r="H14" s="18">
        <f>IF((1-Parametros!$D$17-Parametros!$B$12-Parametros!$B$6-Parametros!$B$5-Parametros!$F$17)&lt;=0,1000000000,MAX(Parametros!$B$17,(D14+Parametros!$E$17+Parametros!$B$13)/(1-Parametros!$D$17-Parametros!$B$12-Parametros!$B$6-Parametros!$B$5-Parametros!$F$17)))</f>
        <v>29</v>
      </c>
      <c r="I14" s="18">
        <f>IF((1-Parametros!$D$18-Parametros!$B$12-Parametros!$B$6-Parametros!$B$5-Parametros!$F$18)&lt;=0,1000000000,MAX(Parametros!$B$18,(D14+Parametros!$E$18+Parametros!$B$13)/(1-Parametros!$D$18-Parametros!$B$12-Parametros!$B$6-Parametros!$B$5-Parametros!$F$18)))</f>
        <v>50</v>
      </c>
      <c r="J14" s="18">
        <f>IF((1-Parametros!$D$19-Parametros!$B$12-Parametros!$B$6-Parametros!$B$5-Parametros!$F$19)&lt;=0,1000000000,MAX(Parametros!$B$19,(D14+Parametros!$E$19+Parametros!$B$13)/(1-Parametros!$D$19-Parametros!$B$12-Parametros!$B$6-Parametros!$B$5-Parametros!$F$19)))</f>
        <v>79</v>
      </c>
      <c r="K14" s="19">
        <f>IF(Parametros!$B$8=1,CEILING(IF(F14&lt;Parametros!$C$15,F14,IF(G14&lt;Parametros!$C$16,G14,IF(H14&lt;Parametros!$C$17,H14,IF(I14&lt;Parametros!$C$18,I14,J14))))+0.1,1)-0.1,ROUNDUP(IF(F14&lt;Parametros!$C$15,F14,IF(G14&lt;Parametros!$C$16,G14,IF(H14&lt;Parametros!$C$17,H14,IF(I14&lt;Parametros!$C$18,I14,J14)))),2))</f>
        <v>15.9</v>
      </c>
      <c r="L14" s="18">
        <f>K14-K14*(INDEX(Parametros!$D$15:$D$19,MATCH(K14,Parametros!$B$15:$B$19,1))+Parametros!$B$12+Parametros!$B$6+INDEX(Parametros!$F$15:$F$19,MATCH(K14,Parametros!$B$15:$B$19,1)))-INDEX(Parametros!$E$15:$E$19,MATCH(K14,Parametros!$B$15:$B$19,1))-Parametros!$B$13-D14</f>
        <v>3.1980000000000004</v>
      </c>
      <c r="M14" s="15">
        <f t="shared" si="0"/>
        <v>0.20113207547169815</v>
      </c>
      <c r="N14" s="18">
        <f>IF((1-Parametros!$D$26-Parametros!$B$23-Parametros!$B$6-Parametros!$B$5-Parametros!$F$26)&lt;=0,1000000000,MAX(Parametros!$B$26,(D14+Parametros!$E$26+Parametros!$B$24)/(1-Parametros!$D$26-Parametros!$B$23-Parametros!$B$6-Parametros!$B$5-Parametros!$F$26)))</f>
        <v>59.833333333333279</v>
      </c>
      <c r="O14" s="18">
        <f>IF((1-Parametros!$D$27-Parametros!$B$23-Parametros!$B$6-Parametros!$B$5-Parametros!$F$27)&lt;=0,1000000000,MAX(Parametros!$B$27,(D14+Parametros!$E$27+Parametros!$B$24)/(1-Parametros!$D$27-Parametros!$B$23-Parametros!$B$6-Parametros!$B$5-Parametros!$F$27)))</f>
        <v>13.553571428571427</v>
      </c>
      <c r="P14" s="19">
        <f>IF(Parametros!$B$8=1,CEILING(IF(N14&lt;Parametros!$C$26,N14,O14)+0.1,1)-0.1,ROUNDUP(IF(N14&lt;Parametros!$C$26,N14,O14),2))</f>
        <v>13.9</v>
      </c>
      <c r="Q14" s="18">
        <f>P14-P14*(INDEX(Parametros!$D$26:$D$27,MATCH(P14,Parametros!$B$26:$B$27,1))+Parametros!$B$23+Parametros!$B$6+INDEX(Parametros!$F$26:$F$27,MATCH(P14,Parametros!$B$26:$B$27,1)))-INDEX(Parametros!$E$26:$E$27,MATCH(P14,Parametros!$B$26:$B$27,1))-Parametros!$B$24-D14</f>
        <v>2.9740000000000002</v>
      </c>
      <c r="R14" s="15">
        <f t="shared" si="1"/>
        <v>0.2139568345323741</v>
      </c>
      <c r="S14" s="18">
        <f>IF((1-Parametros!$D$33-Parametros!$B$30-Parametros!$B$6-Parametros!$B$5-Parametros!$F$33)&lt;=0,1000000000,MAX(Parametros!$B$33,(D14+Parametros!$E$33+Parametros!$B$31)/(1-Parametros!$D$33-Parametros!$B$30-Parametros!$B$6-Parametros!$B$5-Parametros!$F$33)))</f>
        <v>11.500000000000002</v>
      </c>
      <c r="T14" s="18">
        <f>IF((1-Parametros!$D$34-Parametros!$B$30-Parametros!$B$6-Parametros!$B$5-Parametros!$F$34)&lt;=0,1000000000,MAX(Parametros!$B$34,(D14+Parametros!$E$34+Parametros!$B$31)/(1-Parametros!$D$34-Parametros!$B$30-Parametros!$B$6-Parametros!$B$5-Parametros!$F$34)))</f>
        <v>50</v>
      </c>
      <c r="U14" s="19">
        <f>IF(Parametros!$B$8=1,CEILING(IF(S14&lt;Parametros!$C$33,S14,T14)+0.1,1)-0.1,ROUNDUP(IF(S14&lt;Parametros!$C$33,S14,T14),2))</f>
        <v>11.9</v>
      </c>
      <c r="V14" s="18">
        <f>U14-U14*(INDEX(Parametros!$D$33:$D$34,MATCH(U14,Parametros!$B$33:$B$34,1))+Parametros!$B$30+Parametros!$B$6+INDEX(Parametros!$F$33:$F$34,MATCH(U14,Parametros!$B$33:$B$34,1)))-INDEX(Parametros!$E$33:$E$34,MATCH(U14,Parametros!$B$33:$B$34,1))-Parametros!$B$31-D14</f>
        <v>2.6440000000000001</v>
      </c>
      <c r="W14" s="15">
        <f t="shared" si="2"/>
        <v>0.22218487394957984</v>
      </c>
      <c r="X14" s="19">
        <f>IF(Parametros!$B$8=1,CEILING((D14+Parametros!$B$39)/(1-Parametros!$B$37-Parametros!$B$38-Parametros!$B$6-Parametros!$B$9)+0.1,1)-0.1,ROUNDUP((D14+Parametros!$B$39)/(1-Parametros!$B$37-Parametros!$B$38-Parametros!$B$6-Parametros!$B$9),2))</f>
        <v>7.9</v>
      </c>
      <c r="Y14" s="18">
        <f>X14-X14*(Parametros!$B$37+Parametros!$B$38+Parametros!$B$6)-Parametros!$B$39-D14</f>
        <v>3.9940000000000007</v>
      </c>
      <c r="Z14" s="15">
        <f t="shared" si="3"/>
        <v>0.50556962025316465</v>
      </c>
    </row>
    <row r="15" spans="1:26" ht="15" customHeight="1" x14ac:dyDescent="0.3">
      <c r="A15" s="7">
        <f>Planilha1!A15</f>
        <v>12</v>
      </c>
      <c r="B15" s="7" t="str">
        <f>Planilha1!B15</f>
        <v xml:space="preserve">Chaveiro Gato Trevo </v>
      </c>
      <c r="C15" s="18">
        <f>Planilha1!C15</f>
        <v>3.09</v>
      </c>
      <c r="D15" s="18">
        <f>C15+Parametros!$B$7</f>
        <v>4.09</v>
      </c>
      <c r="E15" s="19">
        <f>IF(Parametros!$B$8=1,CEILING(D15/(1-Parametros!$B$9-Parametros!$B$6)+0.1,1)-0.1,ROUNDUP(D15/(1-Parametros!$B$9-Parametros!$B$6),2))</f>
        <v>8.9</v>
      </c>
      <c r="F15" s="18">
        <f>IF((1-Parametros!$D$15-Parametros!$B$12-Parametros!$B$6-Parametros!$B$5-Parametros!$F$15)&lt;=0,1000000000,MAX(Parametros!$B$15,(D15+Parametros!$E$15+Parametros!$B$13)/(1-Parametros!$D$15-Parametros!$B$12-Parametros!$B$6-Parametros!$B$5-Parametros!$F$15)))</f>
        <v>34.083333333333364</v>
      </c>
      <c r="G15" s="18">
        <f>IF((1-Parametros!$D$16-Parametros!$B$12-Parametros!$B$6-Parametros!$B$5-Parametros!$F$16)&lt;=0,1000000000,MAX(Parametros!$B$16,(D15+Parametros!$E$16+Parametros!$B$13)/(1-Parametros!$D$16-Parametros!$B$12-Parametros!$B$6-Parametros!$B$5-Parametros!$F$16)))</f>
        <v>16.677419354838712</v>
      </c>
      <c r="H15" s="18">
        <f>IF((1-Parametros!$D$17-Parametros!$B$12-Parametros!$B$6-Parametros!$B$5-Parametros!$F$17)&lt;=0,1000000000,MAX(Parametros!$B$17,(D15+Parametros!$E$17+Parametros!$B$13)/(1-Parametros!$D$17-Parametros!$B$12-Parametros!$B$6-Parametros!$B$5-Parametros!$F$17)))</f>
        <v>29</v>
      </c>
      <c r="I15" s="18">
        <f>IF((1-Parametros!$D$18-Parametros!$B$12-Parametros!$B$6-Parametros!$B$5-Parametros!$F$18)&lt;=0,1000000000,MAX(Parametros!$B$18,(D15+Parametros!$E$18+Parametros!$B$13)/(1-Parametros!$D$18-Parametros!$B$12-Parametros!$B$6-Parametros!$B$5-Parametros!$F$18)))</f>
        <v>50</v>
      </c>
      <c r="J15" s="18">
        <f>IF((1-Parametros!$D$19-Parametros!$B$12-Parametros!$B$6-Parametros!$B$5-Parametros!$F$19)&lt;=0,1000000000,MAX(Parametros!$B$19,(D15+Parametros!$E$19+Parametros!$B$13)/(1-Parametros!$D$19-Parametros!$B$12-Parametros!$B$6-Parametros!$B$5-Parametros!$F$19)))</f>
        <v>79</v>
      </c>
      <c r="K15" s="19">
        <f>IF(Parametros!$B$8=1,CEILING(IF(F15&lt;Parametros!$C$15,F15,IF(G15&lt;Parametros!$C$16,G15,IF(H15&lt;Parametros!$C$17,H15,IF(I15&lt;Parametros!$C$18,I15,J15))))+0.1,1)-0.1,ROUNDUP(IF(F15&lt;Parametros!$C$15,F15,IF(G15&lt;Parametros!$C$16,G15,IF(H15&lt;Parametros!$C$17,H15,IF(I15&lt;Parametros!$C$18,I15,J15)))),2))</f>
        <v>16.899999999999999</v>
      </c>
      <c r="L15" s="18">
        <f>K15-K15*(INDEX(Parametros!$D$15:$D$19,MATCH(K15,Parametros!$B$15:$B$19,1))+Parametros!$B$12+Parametros!$B$6+INDEX(Parametros!$F$15:$F$19,MATCH(K15,Parametros!$B$15:$B$19,1)))-INDEX(Parametros!$E$15:$E$19,MATCH(K15,Parametros!$B$15:$B$19,1))-Parametros!$B$13-D15</f>
        <v>3.5179999999999989</v>
      </c>
      <c r="M15" s="15">
        <f t="shared" si="0"/>
        <v>0.20816568047337272</v>
      </c>
      <c r="N15" s="18">
        <f>IF((1-Parametros!$D$26-Parametros!$B$23-Parametros!$B$6-Parametros!$B$5-Parametros!$F$26)&lt;=0,1000000000,MAX(Parametros!$B$26,(D15+Parametros!$E$26+Parametros!$B$24)/(1-Parametros!$D$26-Parametros!$B$23-Parametros!$B$6-Parametros!$B$5-Parametros!$F$26)))</f>
        <v>68.1666666666666</v>
      </c>
      <c r="O15" s="18">
        <f>IF((1-Parametros!$D$27-Parametros!$B$23-Parametros!$B$6-Parametros!$B$5-Parametros!$F$27)&lt;=0,1000000000,MAX(Parametros!$B$27,(D15+Parametros!$E$27+Parametros!$B$24)/(1-Parametros!$D$27-Parametros!$B$23-Parametros!$B$6-Parametros!$B$5-Parametros!$F$27)))</f>
        <v>14.446428571428569</v>
      </c>
      <c r="P15" s="19">
        <f>IF(Parametros!$B$8=1,CEILING(IF(N15&lt;Parametros!$C$26,N15,O15)+0.1,1)-0.1,ROUNDUP(IF(N15&lt;Parametros!$C$26,N15,O15),2))</f>
        <v>14.9</v>
      </c>
      <c r="Q15" s="18">
        <f>P15-P15*(INDEX(Parametros!$D$26:$D$27,MATCH(P15,Parametros!$B$26:$B$27,1))+Parametros!$B$23+Parametros!$B$6+INDEX(Parametros!$F$26:$F$27,MATCH(P15,Parametros!$B$26:$B$27,1)))-INDEX(Parametros!$E$26:$E$27,MATCH(P15,Parametros!$B$26:$B$27,1))-Parametros!$B$24-D15</f>
        <v>3.234</v>
      </c>
      <c r="R15" s="15">
        <f t="shared" si="1"/>
        <v>0.21704697986577182</v>
      </c>
      <c r="S15" s="18">
        <f>IF((1-Parametros!$D$33-Parametros!$B$30-Parametros!$B$6-Parametros!$B$5-Parametros!$F$33)&lt;=0,1000000000,MAX(Parametros!$B$33,(D15+Parametros!$E$33+Parametros!$B$31)/(1-Parametros!$D$33-Parametros!$B$30-Parametros!$B$6-Parametros!$B$5-Parametros!$F$33)))</f>
        <v>12.25757575757576</v>
      </c>
      <c r="T15" s="18">
        <f>IF((1-Parametros!$D$34-Parametros!$B$30-Parametros!$B$6-Parametros!$B$5-Parametros!$F$34)&lt;=0,1000000000,MAX(Parametros!$B$34,(D15+Parametros!$E$34+Parametros!$B$31)/(1-Parametros!$D$34-Parametros!$B$30-Parametros!$B$6-Parametros!$B$5-Parametros!$F$34)))</f>
        <v>50</v>
      </c>
      <c r="U15" s="19">
        <f>IF(Parametros!$B$8=1,CEILING(IF(S15&lt;Parametros!$C$33,S15,T15)+0.1,1)-0.1,ROUNDUP(IF(S15&lt;Parametros!$C$33,S15,T15),2))</f>
        <v>12.9</v>
      </c>
      <c r="V15" s="18">
        <f>U15-U15*(INDEX(Parametros!$D$33:$D$34,MATCH(U15,Parametros!$B$33:$B$34,1))+Parametros!$B$30+Parametros!$B$6+INDEX(Parametros!$F$33:$F$34,MATCH(U15,Parametros!$B$33:$B$34,1)))-INDEX(Parametros!$E$33:$E$34,MATCH(U15,Parametros!$B$33:$B$34,1))-Parametros!$B$31-D15</f>
        <v>3.0039999999999996</v>
      </c>
      <c r="W15" s="15">
        <f t="shared" si="2"/>
        <v>0.23286821705426353</v>
      </c>
      <c r="X15" s="19">
        <f>IF(Parametros!$B$8=1,CEILING((D15+Parametros!$B$39)/(1-Parametros!$B$37-Parametros!$B$38-Parametros!$B$6-Parametros!$B$9)+0.1,1)-0.1,ROUNDUP((D15+Parametros!$B$39)/(1-Parametros!$B$37-Parametros!$B$38-Parametros!$B$6-Parametros!$B$9),2))</f>
        <v>8.9</v>
      </c>
      <c r="Y15" s="18">
        <f>X15-X15*(Parametros!$B$37+Parametros!$B$38+Parametros!$B$6)-Parametros!$B$39-D15</f>
        <v>4.4540000000000006</v>
      </c>
      <c r="Z15" s="15">
        <f t="shared" si="3"/>
        <v>0.50044943820224719</v>
      </c>
    </row>
    <row r="16" spans="1:26" ht="15" customHeight="1" x14ac:dyDescent="0.3">
      <c r="A16" s="7">
        <f>Planilha1!A16</f>
        <v>13</v>
      </c>
      <c r="B16" s="7" t="str">
        <f>Planilha1!B16</f>
        <v>Chaveiro hello kit</v>
      </c>
      <c r="C16" s="18">
        <f>Planilha1!C16</f>
        <v>2.27</v>
      </c>
      <c r="D16" s="18">
        <f>C16+Parametros!$B$7</f>
        <v>3.27</v>
      </c>
      <c r="E16" s="19">
        <f>IF(Parametros!$B$8=1,CEILING(D16/(1-Parametros!$B$9-Parametros!$B$6)+0.1,1)-0.1,ROUNDUP(D16/(1-Parametros!$B$9-Parametros!$B$6),2))</f>
        <v>7.9</v>
      </c>
      <c r="F16" s="18">
        <f>IF((1-Parametros!$D$15-Parametros!$B$12-Parametros!$B$6-Parametros!$B$5-Parametros!$F$15)&lt;=0,1000000000,MAX(Parametros!$B$15,(D16+Parametros!$E$15+Parametros!$B$13)/(1-Parametros!$D$15-Parametros!$B$12-Parametros!$B$6-Parametros!$B$5-Parametros!$F$15)))</f>
        <v>27.250000000000025</v>
      </c>
      <c r="G16" s="18">
        <f>IF((1-Parametros!$D$16-Parametros!$B$12-Parametros!$B$6-Parametros!$B$5-Parametros!$F$16)&lt;=0,1000000000,MAX(Parametros!$B$16,(D16+Parametros!$E$16+Parametros!$B$13)/(1-Parametros!$D$16-Parametros!$B$12-Parametros!$B$6-Parametros!$B$5-Parametros!$F$16)))</f>
        <v>15.354838709677422</v>
      </c>
      <c r="H16" s="18">
        <f>IF((1-Parametros!$D$17-Parametros!$B$12-Parametros!$B$6-Parametros!$B$5-Parametros!$F$17)&lt;=0,1000000000,MAX(Parametros!$B$17,(D16+Parametros!$E$17+Parametros!$B$13)/(1-Parametros!$D$17-Parametros!$B$12-Parametros!$B$6-Parametros!$B$5-Parametros!$F$17)))</f>
        <v>29</v>
      </c>
      <c r="I16" s="18">
        <f>IF((1-Parametros!$D$18-Parametros!$B$12-Parametros!$B$6-Parametros!$B$5-Parametros!$F$18)&lt;=0,1000000000,MAX(Parametros!$B$18,(D16+Parametros!$E$18+Parametros!$B$13)/(1-Parametros!$D$18-Parametros!$B$12-Parametros!$B$6-Parametros!$B$5-Parametros!$F$18)))</f>
        <v>50</v>
      </c>
      <c r="J16" s="18">
        <f>IF((1-Parametros!$D$19-Parametros!$B$12-Parametros!$B$6-Parametros!$B$5-Parametros!$F$19)&lt;=0,1000000000,MAX(Parametros!$B$19,(D16+Parametros!$E$19+Parametros!$B$13)/(1-Parametros!$D$19-Parametros!$B$12-Parametros!$B$6-Parametros!$B$5-Parametros!$F$19)))</f>
        <v>79</v>
      </c>
      <c r="K16" s="19">
        <f>IF(Parametros!$B$8=1,CEILING(IF(F16&lt;Parametros!$C$15,F16,IF(G16&lt;Parametros!$C$16,G16,IF(H16&lt;Parametros!$C$17,H16,IF(I16&lt;Parametros!$C$18,I16,J16))))+0.1,1)-0.1,ROUNDUP(IF(F16&lt;Parametros!$C$15,F16,IF(G16&lt;Parametros!$C$16,G16,IF(H16&lt;Parametros!$C$17,H16,IF(I16&lt;Parametros!$C$18,I16,J16)))),2))</f>
        <v>15.9</v>
      </c>
      <c r="L16" s="18">
        <f>K16-K16*(INDEX(Parametros!$D$15:$D$19,MATCH(K16,Parametros!$B$15:$B$19,1))+Parametros!$B$12+Parametros!$B$6+INDEX(Parametros!$F$15:$F$19,MATCH(K16,Parametros!$B$15:$B$19,1)))-INDEX(Parametros!$E$15:$E$19,MATCH(K16,Parametros!$B$15:$B$19,1))-Parametros!$B$13-D16</f>
        <v>3.5180000000000002</v>
      </c>
      <c r="M16" s="15">
        <f t="shared" si="0"/>
        <v>0.22125786163522013</v>
      </c>
      <c r="N16" s="18">
        <f>IF((1-Parametros!$D$26-Parametros!$B$23-Parametros!$B$6-Parametros!$B$5-Parametros!$F$26)&lt;=0,1000000000,MAX(Parametros!$B$26,(D16+Parametros!$E$26+Parametros!$B$24)/(1-Parametros!$D$26-Parametros!$B$23-Parametros!$B$6-Parametros!$B$5-Parametros!$F$26)))</f>
        <v>54.49999999999995</v>
      </c>
      <c r="O16" s="18">
        <f>IF((1-Parametros!$D$27-Parametros!$B$23-Parametros!$B$6-Parametros!$B$5-Parametros!$F$27)&lt;=0,1000000000,MAX(Parametros!$B$27,(D16+Parametros!$E$27+Parametros!$B$24)/(1-Parametros!$D$27-Parametros!$B$23-Parametros!$B$6-Parametros!$B$5-Parametros!$F$27)))</f>
        <v>12.982142857142856</v>
      </c>
      <c r="P16" s="19">
        <f>IF(Parametros!$B$8=1,CEILING(IF(N16&lt;Parametros!$C$26,N16,O16)+0.1,1)-0.1,ROUNDUP(IF(N16&lt;Parametros!$C$26,N16,O16),2))</f>
        <v>13.9</v>
      </c>
      <c r="Q16" s="18">
        <f>P16-P16*(INDEX(Parametros!$D$26:$D$27,MATCH(P16,Parametros!$B$26:$B$27,1))+Parametros!$B$23+Parametros!$B$6+INDEX(Parametros!$F$26:$F$27,MATCH(P16,Parametros!$B$26:$B$27,1)))-INDEX(Parametros!$E$26:$E$27,MATCH(P16,Parametros!$B$26:$B$27,1))-Parametros!$B$24-D16</f>
        <v>3.294</v>
      </c>
      <c r="R16" s="15">
        <f t="shared" si="1"/>
        <v>0.23697841726618704</v>
      </c>
      <c r="S16" s="18">
        <f>IF((1-Parametros!$D$33-Parametros!$B$30-Parametros!$B$6-Parametros!$B$5-Parametros!$F$33)&lt;=0,1000000000,MAX(Parametros!$B$33,(D16+Parametros!$E$33+Parametros!$B$31)/(1-Parametros!$D$33-Parametros!$B$30-Parametros!$B$6-Parametros!$B$5-Parametros!$F$33)))</f>
        <v>11.015151515151516</v>
      </c>
      <c r="T16" s="18">
        <f>IF((1-Parametros!$D$34-Parametros!$B$30-Parametros!$B$6-Parametros!$B$5-Parametros!$F$34)&lt;=0,1000000000,MAX(Parametros!$B$34,(D16+Parametros!$E$34+Parametros!$B$31)/(1-Parametros!$D$34-Parametros!$B$30-Parametros!$B$6-Parametros!$B$5-Parametros!$F$34)))</f>
        <v>50</v>
      </c>
      <c r="U16" s="19">
        <f>IF(Parametros!$B$8=1,CEILING(IF(S16&lt;Parametros!$C$33,S16,T16)+0.1,1)-0.1,ROUNDUP(IF(S16&lt;Parametros!$C$33,S16,T16),2))</f>
        <v>11.9</v>
      </c>
      <c r="V16" s="18">
        <f>U16-U16*(INDEX(Parametros!$D$33:$D$34,MATCH(U16,Parametros!$B$33:$B$34,1))+Parametros!$B$30+Parametros!$B$6+INDEX(Parametros!$F$33:$F$34,MATCH(U16,Parametros!$B$33:$B$34,1)))-INDEX(Parametros!$E$33:$E$34,MATCH(U16,Parametros!$B$33:$B$34,1))-Parametros!$B$31-D16</f>
        <v>2.964</v>
      </c>
      <c r="W16" s="15">
        <f t="shared" si="2"/>
        <v>0.24907563025210083</v>
      </c>
      <c r="X16" s="19">
        <f>IF(Parametros!$B$8=1,CEILING((D16+Parametros!$B$39)/(1-Parametros!$B$37-Parametros!$B$38-Parametros!$B$6-Parametros!$B$9)+0.1,1)-0.1,ROUNDUP((D16+Parametros!$B$39)/(1-Parametros!$B$37-Parametros!$B$38-Parametros!$B$6-Parametros!$B$9),2))</f>
        <v>7.9</v>
      </c>
      <c r="Y16" s="18">
        <f>X16-X16*(Parametros!$B$37+Parametros!$B$38+Parametros!$B$6)-Parametros!$B$39-D16</f>
        <v>4.3140000000000001</v>
      </c>
      <c r="Z16" s="15">
        <f t="shared" si="3"/>
        <v>0.54607594936708859</v>
      </c>
    </row>
    <row r="17" spans="1:26" ht="15" customHeight="1" x14ac:dyDescent="0.3">
      <c r="A17" s="7">
        <f>Planilha1!A17</f>
        <v>14</v>
      </c>
      <c r="B17" s="7" t="str">
        <f>Planilha1!B17</f>
        <v xml:space="preserve">Molde de sorvete cachorro grande </v>
      </c>
      <c r="C17" s="18">
        <f>Planilha1!C17</f>
        <v>6.34</v>
      </c>
      <c r="D17" s="18">
        <f>C17+Parametros!$B$7</f>
        <v>7.34</v>
      </c>
      <c r="E17" s="19">
        <f>IF(Parametros!$B$8=1,CEILING(D17/(1-Parametros!$B$9-Parametros!$B$6)+0.1,1)-0.1,ROUNDUP(D17/(1-Parametros!$B$9-Parametros!$B$6),2))</f>
        <v>16.899999999999999</v>
      </c>
      <c r="F17" s="18">
        <f>IF((1-Parametros!$D$15-Parametros!$B$12-Parametros!$B$6-Parametros!$B$5-Parametros!$F$15)&lt;=0,1000000000,MAX(Parametros!$B$15,(D17+Parametros!$E$15+Parametros!$B$13)/(1-Parametros!$D$15-Parametros!$B$12-Parametros!$B$6-Parametros!$B$5-Parametros!$F$15)))</f>
        <v>61.166666666666721</v>
      </c>
      <c r="G17" s="18">
        <f>IF((1-Parametros!$D$16-Parametros!$B$12-Parametros!$B$6-Parametros!$B$5-Parametros!$F$16)&lt;=0,1000000000,MAX(Parametros!$B$16,(D17+Parametros!$E$16+Parametros!$B$13)/(1-Parametros!$D$16-Parametros!$B$12-Parametros!$B$6-Parametros!$B$5-Parametros!$F$16)))</f>
        <v>21.91935483870968</v>
      </c>
      <c r="H17" s="18">
        <f>IF((1-Parametros!$D$17-Parametros!$B$12-Parametros!$B$6-Parametros!$B$5-Parametros!$F$17)&lt;=0,1000000000,MAX(Parametros!$B$17,(D17+Parametros!$E$17+Parametros!$B$13)/(1-Parametros!$D$17-Parametros!$B$12-Parametros!$B$6-Parametros!$B$5-Parametros!$F$17)))</f>
        <v>29</v>
      </c>
      <c r="I17" s="18">
        <f>IF((1-Parametros!$D$18-Parametros!$B$12-Parametros!$B$6-Parametros!$B$5-Parametros!$F$18)&lt;=0,1000000000,MAX(Parametros!$B$18,(D17+Parametros!$E$18+Parametros!$B$13)/(1-Parametros!$D$18-Parametros!$B$12-Parametros!$B$6-Parametros!$B$5-Parametros!$F$18)))</f>
        <v>50</v>
      </c>
      <c r="J17" s="18">
        <f>IF((1-Parametros!$D$19-Parametros!$B$12-Parametros!$B$6-Parametros!$B$5-Parametros!$F$19)&lt;=0,1000000000,MAX(Parametros!$B$19,(D17+Parametros!$E$19+Parametros!$B$13)/(1-Parametros!$D$19-Parametros!$B$12-Parametros!$B$6-Parametros!$B$5-Parametros!$F$19)))</f>
        <v>79</v>
      </c>
      <c r="K17" s="19">
        <f>IF(Parametros!$B$8=1,CEILING(IF(F17&lt;Parametros!$C$15,F17,IF(G17&lt;Parametros!$C$16,G17,IF(H17&lt;Parametros!$C$17,H17,IF(I17&lt;Parametros!$C$18,I17,J17))))+0.1,1)-0.1,ROUNDUP(IF(F17&lt;Parametros!$C$15,F17,IF(G17&lt;Parametros!$C$16,G17,IF(H17&lt;Parametros!$C$17,H17,IF(I17&lt;Parametros!$C$18,I17,J17)))),2))</f>
        <v>22.9</v>
      </c>
      <c r="L17" s="18">
        <f>K17-K17*(INDEX(Parametros!$D$15:$D$19,MATCH(K17,Parametros!$B$15:$B$19,1))+Parametros!$B$12+Parametros!$B$6+INDEX(Parametros!$F$15:$F$19,MATCH(K17,Parametros!$B$15:$B$19,1)))-INDEX(Parametros!$E$15:$E$19,MATCH(K17,Parametros!$B$15:$B$19,1))-Parametros!$B$13-D17</f>
        <v>5.1879999999999988</v>
      </c>
      <c r="M17" s="15">
        <f t="shared" si="0"/>
        <v>0.22655021834061131</v>
      </c>
      <c r="N17" s="18">
        <f>IF((1-Parametros!$D$26-Parametros!$B$23-Parametros!$B$6-Parametros!$B$5-Parametros!$F$26)&lt;=0,1000000000,MAX(Parametros!$B$26,(D17+Parametros!$E$26+Parametros!$B$24)/(1-Parametros!$D$26-Parametros!$B$23-Parametros!$B$6-Parametros!$B$5-Parametros!$F$26)))</f>
        <v>122.33333333333323</v>
      </c>
      <c r="O17" s="18">
        <f>IF((1-Parametros!$D$27-Parametros!$B$23-Parametros!$B$6-Parametros!$B$5-Parametros!$F$27)&lt;=0,1000000000,MAX(Parametros!$B$27,(D17+Parametros!$E$27+Parametros!$B$24)/(1-Parametros!$D$27-Parametros!$B$23-Parametros!$B$6-Parametros!$B$5-Parametros!$F$27)))</f>
        <v>20.249999999999996</v>
      </c>
      <c r="P17" s="19">
        <f>IF(Parametros!$B$8=1,CEILING(IF(N17&lt;Parametros!$C$26,N17,O17)+0.1,1)-0.1,ROUNDUP(IF(N17&lt;Parametros!$C$26,N17,O17),2))</f>
        <v>20.9</v>
      </c>
      <c r="Q17" s="18">
        <f>P17-P17*(INDEX(Parametros!$D$26:$D$27,MATCH(P17,Parametros!$B$26:$B$27,1))+Parametros!$B$23+Parametros!$B$6+INDEX(Parametros!$F$26:$F$27,MATCH(P17,Parametros!$B$26:$B$27,1)))-INDEX(Parametros!$E$26:$E$27,MATCH(P17,Parametros!$B$26:$B$27,1))-Parametros!$B$24-D17</f>
        <v>4.5439999999999987</v>
      </c>
      <c r="R17" s="15">
        <f t="shared" si="1"/>
        <v>0.21741626794258367</v>
      </c>
      <c r="S17" s="18">
        <f>IF((1-Parametros!$D$33-Parametros!$B$30-Parametros!$B$6-Parametros!$B$5-Parametros!$F$33)&lt;=0,1000000000,MAX(Parametros!$B$33,(D17+Parametros!$E$33+Parametros!$B$31)/(1-Parametros!$D$33-Parametros!$B$30-Parametros!$B$6-Parametros!$B$5-Parametros!$F$33)))</f>
        <v>17.181818181818183</v>
      </c>
      <c r="T17" s="18">
        <f>IF((1-Parametros!$D$34-Parametros!$B$30-Parametros!$B$6-Parametros!$B$5-Parametros!$F$34)&lt;=0,1000000000,MAX(Parametros!$B$34,(D17+Parametros!$E$34+Parametros!$B$31)/(1-Parametros!$D$34-Parametros!$B$30-Parametros!$B$6-Parametros!$B$5-Parametros!$F$34)))</f>
        <v>50</v>
      </c>
      <c r="U17" s="19">
        <f>IF(Parametros!$B$8=1,CEILING(IF(S17&lt;Parametros!$C$33,S17,T17)+0.1,1)-0.1,ROUNDUP(IF(S17&lt;Parametros!$C$33,S17,T17),2))</f>
        <v>17.899999999999999</v>
      </c>
      <c r="V17" s="18">
        <f>U17-U17*(INDEX(Parametros!$D$33:$D$34,MATCH(U17,Parametros!$B$33:$B$34,1))+Parametros!$B$30+Parametros!$B$6+INDEX(Parametros!$F$33:$F$34,MATCH(U17,Parametros!$B$33:$B$34,1)))-INDEX(Parametros!$E$33:$E$34,MATCH(U17,Parametros!$B$33:$B$34,1))-Parametros!$B$31-D17</f>
        <v>4.0539999999999985</v>
      </c>
      <c r="W17" s="15">
        <f t="shared" si="2"/>
        <v>0.22648044692737423</v>
      </c>
      <c r="X17" s="19">
        <f>IF(Parametros!$B$8=1,CEILING((D17+Parametros!$B$39)/(1-Parametros!$B$37-Parametros!$B$38-Parametros!$B$6-Parametros!$B$9)+0.1,1)-0.1,ROUNDUP((D17+Parametros!$B$39)/(1-Parametros!$B$37-Parametros!$B$38-Parametros!$B$6-Parametros!$B$9),2))</f>
        <v>16.899999999999999</v>
      </c>
      <c r="Y17" s="18">
        <f>X17-X17*(Parametros!$B$37+Parametros!$B$38+Parametros!$B$6)-Parametros!$B$39-D17</f>
        <v>8.8840000000000003</v>
      </c>
      <c r="Z17" s="15">
        <f t="shared" si="3"/>
        <v>0.52568047337278112</v>
      </c>
    </row>
    <row r="18" spans="1:26" ht="15" customHeight="1" x14ac:dyDescent="0.3">
      <c r="A18" s="7">
        <f>Planilha1!A18</f>
        <v>15</v>
      </c>
      <c r="B18" s="7" t="str">
        <f>Planilha1!B18</f>
        <v>Deslizador Churumi</v>
      </c>
      <c r="C18" s="18">
        <f>Planilha1!C18</f>
        <v>2.1</v>
      </c>
      <c r="D18" s="18">
        <f>C18+Parametros!$B$7</f>
        <v>3.1</v>
      </c>
      <c r="E18" s="19">
        <f>IF(Parametros!$B$8=1,CEILING(D18/(1-Parametros!$B$9-Parametros!$B$6)+0.1,1)-0.1,ROUNDUP(D18/(1-Parametros!$B$9-Parametros!$B$6),2))</f>
        <v>6.9</v>
      </c>
      <c r="F18" s="18">
        <f>IF((1-Parametros!$D$15-Parametros!$B$12-Parametros!$B$6-Parametros!$B$5-Parametros!$F$15)&lt;=0,1000000000,MAX(Parametros!$B$15,(D18+Parametros!$E$15+Parametros!$B$13)/(1-Parametros!$D$15-Parametros!$B$12-Parametros!$B$6-Parametros!$B$5-Parametros!$F$15)))</f>
        <v>25.833333333333361</v>
      </c>
      <c r="G18" s="18">
        <f>IF((1-Parametros!$D$16-Parametros!$B$12-Parametros!$B$6-Parametros!$B$5-Parametros!$F$16)&lt;=0,1000000000,MAX(Parametros!$B$16,(D18+Parametros!$E$16+Parametros!$B$13)/(1-Parametros!$D$16-Parametros!$B$12-Parametros!$B$6-Parametros!$B$5-Parametros!$F$16)))</f>
        <v>15.080645161290326</v>
      </c>
      <c r="H18" s="18">
        <f>IF((1-Parametros!$D$17-Parametros!$B$12-Parametros!$B$6-Parametros!$B$5-Parametros!$F$17)&lt;=0,1000000000,MAX(Parametros!$B$17,(D18+Parametros!$E$17+Parametros!$B$13)/(1-Parametros!$D$17-Parametros!$B$12-Parametros!$B$6-Parametros!$B$5-Parametros!$F$17)))</f>
        <v>29</v>
      </c>
      <c r="I18" s="18">
        <f>IF((1-Parametros!$D$18-Parametros!$B$12-Parametros!$B$6-Parametros!$B$5-Parametros!$F$18)&lt;=0,1000000000,MAX(Parametros!$B$18,(D18+Parametros!$E$18+Parametros!$B$13)/(1-Parametros!$D$18-Parametros!$B$12-Parametros!$B$6-Parametros!$B$5-Parametros!$F$18)))</f>
        <v>50</v>
      </c>
      <c r="J18" s="18">
        <f>IF((1-Parametros!$D$19-Parametros!$B$12-Parametros!$B$6-Parametros!$B$5-Parametros!$F$19)&lt;=0,1000000000,MAX(Parametros!$B$19,(D18+Parametros!$E$19+Parametros!$B$13)/(1-Parametros!$D$19-Parametros!$B$12-Parametros!$B$6-Parametros!$B$5-Parametros!$F$19)))</f>
        <v>79</v>
      </c>
      <c r="K18" s="19">
        <f>IF(Parametros!$B$8=1,CEILING(IF(F18&lt;Parametros!$C$15,F18,IF(G18&lt;Parametros!$C$16,G18,IF(H18&lt;Parametros!$C$17,H18,IF(I18&lt;Parametros!$C$18,I18,J18))))+0.1,1)-0.1,ROUNDUP(IF(F18&lt;Parametros!$C$15,F18,IF(G18&lt;Parametros!$C$16,G18,IF(H18&lt;Parametros!$C$17,H18,IF(I18&lt;Parametros!$C$18,I18,J18)))),2))</f>
        <v>15.9</v>
      </c>
      <c r="L18" s="18">
        <f>K18-K18*(INDEX(Parametros!$D$15:$D$19,MATCH(K18,Parametros!$B$15:$B$19,1))+Parametros!$B$12+Parametros!$B$6+INDEX(Parametros!$F$15:$F$19,MATCH(K18,Parametros!$B$15:$B$19,1)))-INDEX(Parametros!$E$15:$E$19,MATCH(K18,Parametros!$B$15:$B$19,1))-Parametros!$B$13-D18</f>
        <v>3.6880000000000002</v>
      </c>
      <c r="M18" s="15">
        <f t="shared" si="0"/>
        <v>0.23194968553459119</v>
      </c>
      <c r="N18" s="18">
        <f>IF((1-Parametros!$D$26-Parametros!$B$23-Parametros!$B$6-Parametros!$B$5-Parametros!$F$26)&lt;=0,1000000000,MAX(Parametros!$B$26,(D18+Parametros!$E$26+Parametros!$B$24)/(1-Parametros!$D$26-Parametros!$B$23-Parametros!$B$6-Parametros!$B$5-Parametros!$F$26)))</f>
        <v>51.666666666666622</v>
      </c>
      <c r="O18" s="18">
        <f>IF((1-Parametros!$D$27-Parametros!$B$23-Parametros!$B$6-Parametros!$B$5-Parametros!$F$27)&lt;=0,1000000000,MAX(Parametros!$B$27,(D18+Parametros!$E$27+Parametros!$B$24)/(1-Parametros!$D$27-Parametros!$B$23-Parametros!$B$6-Parametros!$B$5-Parametros!$F$27)))</f>
        <v>12.678571428571427</v>
      </c>
      <c r="P18" s="19">
        <f>IF(Parametros!$B$8=1,CEILING(IF(N18&lt;Parametros!$C$26,N18,O18)+0.1,1)-0.1,ROUNDUP(IF(N18&lt;Parametros!$C$26,N18,O18),2))</f>
        <v>12.9</v>
      </c>
      <c r="Q18" s="18">
        <f>P18-P18*(INDEX(Parametros!$D$26:$D$27,MATCH(P18,Parametros!$B$26:$B$27,1))+Parametros!$B$23+Parametros!$B$6+INDEX(Parametros!$F$26:$F$27,MATCH(P18,Parametros!$B$26:$B$27,1)))-INDEX(Parametros!$E$26:$E$27,MATCH(P18,Parametros!$B$26:$B$27,1))-Parametros!$B$24-D18</f>
        <v>2.7040000000000002</v>
      </c>
      <c r="R18" s="15">
        <f t="shared" si="1"/>
        <v>0.2096124031007752</v>
      </c>
      <c r="S18" s="18">
        <f>IF((1-Parametros!$D$33-Parametros!$B$30-Parametros!$B$6-Parametros!$B$5-Parametros!$F$33)&lt;=0,1000000000,MAX(Parametros!$B$33,(D18+Parametros!$E$33+Parametros!$B$31)/(1-Parametros!$D$33-Parametros!$B$30-Parametros!$B$6-Parametros!$B$5-Parametros!$F$33)))</f>
        <v>10.757575757575758</v>
      </c>
      <c r="T18" s="18">
        <f>IF((1-Parametros!$D$34-Parametros!$B$30-Parametros!$B$6-Parametros!$B$5-Parametros!$F$34)&lt;=0,1000000000,MAX(Parametros!$B$34,(D18+Parametros!$E$34+Parametros!$B$31)/(1-Parametros!$D$34-Parametros!$B$30-Parametros!$B$6-Parametros!$B$5-Parametros!$F$34)))</f>
        <v>50</v>
      </c>
      <c r="U18" s="19">
        <f>IF(Parametros!$B$8=1,CEILING(IF(S18&lt;Parametros!$C$33,S18,T18)+0.1,1)-0.1,ROUNDUP(IF(S18&lt;Parametros!$C$33,S18,T18),2))</f>
        <v>10.9</v>
      </c>
      <c r="V18" s="18">
        <f>U18-U18*(INDEX(Parametros!$D$33:$D$34,MATCH(U18,Parametros!$B$33:$B$34,1))+Parametros!$B$30+Parametros!$B$6+INDEX(Parametros!$F$33:$F$34,MATCH(U18,Parametros!$B$33:$B$34,1)))-INDEX(Parametros!$E$33:$E$34,MATCH(U18,Parametros!$B$33:$B$34,1))-Parametros!$B$31-D18</f>
        <v>2.2740000000000005</v>
      </c>
      <c r="W18" s="15">
        <f t="shared" si="2"/>
        <v>0.20862385321100921</v>
      </c>
      <c r="X18" s="19">
        <f>IF(Parametros!$B$8=1,CEILING((D18+Parametros!$B$39)/(1-Parametros!$B$37-Parametros!$B$38-Parametros!$B$6-Parametros!$B$9)+0.1,1)-0.1,ROUNDUP((D18+Parametros!$B$39)/(1-Parametros!$B$37-Parametros!$B$38-Parametros!$B$6-Parametros!$B$9),2))</f>
        <v>6.9</v>
      </c>
      <c r="Y18" s="18">
        <f>X18-X18*(Parametros!$B$37+Parametros!$B$38+Parametros!$B$6)-Parametros!$B$39-D18</f>
        <v>3.5240000000000005</v>
      </c>
      <c r="Z18" s="15">
        <f t="shared" si="3"/>
        <v>0.5107246376811595</v>
      </c>
    </row>
    <row r="19" spans="1:26" ht="15" customHeight="1" x14ac:dyDescent="0.3">
      <c r="A19" s="7">
        <f>Planilha1!A19</f>
        <v>16</v>
      </c>
      <c r="B19" s="7" t="str">
        <f>Planilha1!B19</f>
        <v>2 Clips de sacola gatinho / dog</v>
      </c>
      <c r="C19" s="18">
        <f>Planilha1!C19</f>
        <v>2.89</v>
      </c>
      <c r="D19" s="18">
        <f>C19+Parametros!$B$7</f>
        <v>3.89</v>
      </c>
      <c r="E19" s="19">
        <f>IF(Parametros!$B$8=1,CEILING(D19/(1-Parametros!$B$9-Parametros!$B$6)+0.1,1)-0.1,ROUNDUP(D19/(1-Parametros!$B$9-Parametros!$B$6),2))</f>
        <v>8.9</v>
      </c>
      <c r="F19" s="18">
        <f>IF((1-Parametros!$D$15-Parametros!$B$12-Parametros!$B$6-Parametros!$B$5-Parametros!$F$15)&lt;=0,1000000000,MAX(Parametros!$B$15,(D19+Parametros!$E$15+Parametros!$B$13)/(1-Parametros!$D$15-Parametros!$B$12-Parametros!$B$6-Parametros!$B$5-Parametros!$F$15)))</f>
        <v>32.4166666666667</v>
      </c>
      <c r="G19" s="18">
        <f>IF((1-Parametros!$D$16-Parametros!$B$12-Parametros!$B$6-Parametros!$B$5-Parametros!$F$16)&lt;=0,1000000000,MAX(Parametros!$B$16,(D19+Parametros!$E$16+Parametros!$B$13)/(1-Parametros!$D$16-Parametros!$B$12-Parametros!$B$6-Parametros!$B$5-Parametros!$F$16)))</f>
        <v>16.354838709677423</v>
      </c>
      <c r="H19" s="18">
        <f>IF((1-Parametros!$D$17-Parametros!$B$12-Parametros!$B$6-Parametros!$B$5-Parametros!$F$17)&lt;=0,1000000000,MAX(Parametros!$B$17,(D19+Parametros!$E$17+Parametros!$B$13)/(1-Parametros!$D$17-Parametros!$B$12-Parametros!$B$6-Parametros!$B$5-Parametros!$F$17)))</f>
        <v>29</v>
      </c>
      <c r="I19" s="18">
        <f>IF((1-Parametros!$D$18-Parametros!$B$12-Parametros!$B$6-Parametros!$B$5-Parametros!$F$18)&lt;=0,1000000000,MAX(Parametros!$B$18,(D19+Parametros!$E$18+Parametros!$B$13)/(1-Parametros!$D$18-Parametros!$B$12-Parametros!$B$6-Parametros!$B$5-Parametros!$F$18)))</f>
        <v>50</v>
      </c>
      <c r="J19" s="18">
        <f>IF((1-Parametros!$D$19-Parametros!$B$12-Parametros!$B$6-Parametros!$B$5-Parametros!$F$19)&lt;=0,1000000000,MAX(Parametros!$B$19,(D19+Parametros!$E$19+Parametros!$B$13)/(1-Parametros!$D$19-Parametros!$B$12-Parametros!$B$6-Parametros!$B$5-Parametros!$F$19)))</f>
        <v>79</v>
      </c>
      <c r="K19" s="19">
        <f>IF(Parametros!$B$8=1,CEILING(IF(F19&lt;Parametros!$C$15,F19,IF(G19&lt;Parametros!$C$16,G19,IF(H19&lt;Parametros!$C$17,H19,IF(I19&lt;Parametros!$C$18,I19,J19))))+0.1,1)-0.1,ROUNDUP(IF(F19&lt;Parametros!$C$15,F19,IF(G19&lt;Parametros!$C$16,G19,IF(H19&lt;Parametros!$C$17,H19,IF(I19&lt;Parametros!$C$18,I19,J19)))),2))</f>
        <v>16.899999999999999</v>
      </c>
      <c r="L19" s="18">
        <f>K19-K19*(INDEX(Parametros!$D$15:$D$19,MATCH(K19,Parametros!$B$15:$B$19,1))+Parametros!$B$12+Parametros!$B$6+INDEX(Parametros!$F$15:$F$19,MATCH(K19,Parametros!$B$15:$B$19,1)))-INDEX(Parametros!$E$15:$E$19,MATCH(K19,Parametros!$B$15:$B$19,1))-Parametros!$B$13-D19</f>
        <v>3.7179999999999986</v>
      </c>
      <c r="M19" s="15">
        <f t="shared" si="0"/>
        <v>0.21999999999999995</v>
      </c>
      <c r="N19" s="18">
        <f>IF((1-Parametros!$D$26-Parametros!$B$23-Parametros!$B$6-Parametros!$B$5-Parametros!$F$26)&lt;=0,1000000000,MAX(Parametros!$B$26,(D19+Parametros!$E$26+Parametros!$B$24)/(1-Parametros!$D$26-Parametros!$B$23-Parametros!$B$6-Parametros!$B$5-Parametros!$F$26)))</f>
        <v>64.833333333333272</v>
      </c>
      <c r="O19" s="18">
        <f>IF((1-Parametros!$D$27-Parametros!$B$23-Parametros!$B$6-Parametros!$B$5-Parametros!$F$27)&lt;=0,1000000000,MAX(Parametros!$B$27,(D19+Parametros!$E$27+Parametros!$B$24)/(1-Parametros!$D$27-Parametros!$B$23-Parametros!$B$6-Parametros!$B$5-Parametros!$F$27)))</f>
        <v>14.089285714285714</v>
      </c>
      <c r="P19" s="19">
        <f>IF(Parametros!$B$8=1,CEILING(IF(N19&lt;Parametros!$C$26,N19,O19)+0.1,1)-0.1,ROUNDUP(IF(N19&lt;Parametros!$C$26,N19,O19),2))</f>
        <v>14.9</v>
      </c>
      <c r="Q19" s="18">
        <f>P19-P19*(INDEX(Parametros!$D$26:$D$27,MATCH(P19,Parametros!$B$26:$B$27,1))+Parametros!$B$23+Parametros!$B$6+INDEX(Parametros!$F$26:$F$27,MATCH(P19,Parametros!$B$26:$B$27,1)))-INDEX(Parametros!$E$26:$E$27,MATCH(P19,Parametros!$B$26:$B$27,1))-Parametros!$B$24-D19</f>
        <v>3.4339999999999997</v>
      </c>
      <c r="R19" s="15">
        <f t="shared" si="1"/>
        <v>0.23046979865771811</v>
      </c>
      <c r="S19" s="18">
        <f>IF((1-Parametros!$D$33-Parametros!$B$30-Parametros!$B$6-Parametros!$B$5-Parametros!$F$33)&lt;=0,1000000000,MAX(Parametros!$B$33,(D19+Parametros!$E$33+Parametros!$B$31)/(1-Parametros!$D$33-Parametros!$B$30-Parametros!$B$6-Parametros!$B$5-Parametros!$F$33)))</f>
        <v>11.954545454545457</v>
      </c>
      <c r="T19" s="18">
        <f>IF((1-Parametros!$D$34-Parametros!$B$30-Parametros!$B$6-Parametros!$B$5-Parametros!$F$34)&lt;=0,1000000000,MAX(Parametros!$B$34,(D19+Parametros!$E$34+Parametros!$B$31)/(1-Parametros!$D$34-Parametros!$B$30-Parametros!$B$6-Parametros!$B$5-Parametros!$F$34)))</f>
        <v>50</v>
      </c>
      <c r="U19" s="19">
        <f>IF(Parametros!$B$8=1,CEILING(IF(S19&lt;Parametros!$C$33,S19,T19)+0.1,1)-0.1,ROUNDUP(IF(S19&lt;Parametros!$C$33,S19,T19),2))</f>
        <v>12.9</v>
      </c>
      <c r="V19" s="18">
        <f>U19-U19*(INDEX(Parametros!$D$33:$D$34,MATCH(U19,Parametros!$B$33:$B$34,1))+Parametros!$B$30+Parametros!$B$6+INDEX(Parametros!$F$33:$F$34,MATCH(U19,Parametros!$B$33:$B$34,1)))-INDEX(Parametros!$E$33:$E$34,MATCH(U19,Parametros!$B$33:$B$34,1))-Parametros!$B$31-D19</f>
        <v>3.2039999999999993</v>
      </c>
      <c r="W19" s="15">
        <f t="shared" si="2"/>
        <v>0.24837209302325575</v>
      </c>
      <c r="X19" s="19">
        <f>IF(Parametros!$B$8=1,CEILING((D19+Parametros!$B$39)/(1-Parametros!$B$37-Parametros!$B$38-Parametros!$B$6-Parametros!$B$9)+0.1,1)-0.1,ROUNDUP((D19+Parametros!$B$39)/(1-Parametros!$B$37-Parametros!$B$38-Parametros!$B$6-Parametros!$B$9),2))</f>
        <v>8.9</v>
      </c>
      <c r="Y19" s="18">
        <f>X19-X19*(Parametros!$B$37+Parametros!$B$38+Parametros!$B$6)-Parametros!$B$39-D19</f>
        <v>4.6539999999999999</v>
      </c>
      <c r="Z19" s="15">
        <f t="shared" si="3"/>
        <v>0.52292134831460668</v>
      </c>
    </row>
    <row r="20" spans="1:26" ht="15" customHeight="1" x14ac:dyDescent="0.3">
      <c r="A20" s="7">
        <f>Planilha1!A20</f>
        <v>17</v>
      </c>
      <c r="B20" s="7" t="str">
        <f>Planilha1!B20</f>
        <v>Molde sorvetinho felino</v>
      </c>
      <c r="C20" s="18">
        <f>Planilha1!C20</f>
        <v>2.92</v>
      </c>
      <c r="D20" s="18">
        <f>C20+Parametros!$B$7</f>
        <v>3.92</v>
      </c>
      <c r="E20" s="19">
        <f>IF(Parametros!$B$8=1,CEILING(D20/(1-Parametros!$B$9-Parametros!$B$6)+0.1,1)-0.1,ROUNDUP(D20/(1-Parametros!$B$9-Parametros!$B$6),2))</f>
        <v>8.9</v>
      </c>
      <c r="F20" s="18">
        <f>IF((1-Parametros!$D$15-Parametros!$B$12-Parametros!$B$6-Parametros!$B$5-Parametros!$F$15)&lt;=0,1000000000,MAX(Parametros!$B$15,(D20+Parametros!$E$15+Parametros!$B$13)/(1-Parametros!$D$15-Parametros!$B$12-Parametros!$B$6-Parametros!$B$5-Parametros!$F$15)))</f>
        <v>32.6666666666667</v>
      </c>
      <c r="G20" s="18">
        <f>IF((1-Parametros!$D$16-Parametros!$B$12-Parametros!$B$6-Parametros!$B$5-Parametros!$F$16)&lt;=0,1000000000,MAX(Parametros!$B$16,(D20+Parametros!$E$16+Parametros!$B$13)/(1-Parametros!$D$16-Parametros!$B$12-Parametros!$B$6-Parametros!$B$5-Parametros!$F$16)))</f>
        <v>16.403225806451616</v>
      </c>
      <c r="H20" s="18">
        <f>IF((1-Parametros!$D$17-Parametros!$B$12-Parametros!$B$6-Parametros!$B$5-Parametros!$F$17)&lt;=0,1000000000,MAX(Parametros!$B$17,(D20+Parametros!$E$17+Parametros!$B$13)/(1-Parametros!$D$17-Parametros!$B$12-Parametros!$B$6-Parametros!$B$5-Parametros!$F$17)))</f>
        <v>29</v>
      </c>
      <c r="I20" s="18">
        <f>IF((1-Parametros!$D$18-Parametros!$B$12-Parametros!$B$6-Parametros!$B$5-Parametros!$F$18)&lt;=0,1000000000,MAX(Parametros!$B$18,(D20+Parametros!$E$18+Parametros!$B$13)/(1-Parametros!$D$18-Parametros!$B$12-Parametros!$B$6-Parametros!$B$5-Parametros!$F$18)))</f>
        <v>50</v>
      </c>
      <c r="J20" s="18">
        <f>IF((1-Parametros!$D$19-Parametros!$B$12-Parametros!$B$6-Parametros!$B$5-Parametros!$F$19)&lt;=0,1000000000,MAX(Parametros!$B$19,(D20+Parametros!$E$19+Parametros!$B$13)/(1-Parametros!$D$19-Parametros!$B$12-Parametros!$B$6-Parametros!$B$5-Parametros!$F$19)))</f>
        <v>79</v>
      </c>
      <c r="K20" s="19">
        <f>IF(Parametros!$B$8=1,CEILING(IF(F20&lt;Parametros!$C$15,F20,IF(G20&lt;Parametros!$C$16,G20,IF(H20&lt;Parametros!$C$17,H20,IF(I20&lt;Parametros!$C$18,I20,J20))))+0.1,1)-0.1,ROUNDUP(IF(F20&lt;Parametros!$C$15,F20,IF(G20&lt;Parametros!$C$16,G20,IF(H20&lt;Parametros!$C$17,H20,IF(I20&lt;Parametros!$C$18,I20,J20)))),2))</f>
        <v>16.899999999999999</v>
      </c>
      <c r="L20" s="18">
        <f>K20-K20*(INDEX(Parametros!$D$15:$D$19,MATCH(K20,Parametros!$B$15:$B$19,1))+Parametros!$B$12+Parametros!$B$6+INDEX(Parametros!$F$15:$F$19,MATCH(K20,Parametros!$B$15:$B$19,1)))-INDEX(Parametros!$E$15:$E$19,MATCH(K20,Parametros!$B$15:$B$19,1))-Parametros!$B$13-D20</f>
        <v>3.6879999999999988</v>
      </c>
      <c r="M20" s="15">
        <f t="shared" si="0"/>
        <v>0.21822485207100586</v>
      </c>
      <c r="N20" s="18">
        <f>IF((1-Parametros!$D$26-Parametros!$B$23-Parametros!$B$6-Parametros!$B$5-Parametros!$F$26)&lt;=0,1000000000,MAX(Parametros!$B$26,(D20+Parametros!$E$26+Parametros!$B$24)/(1-Parametros!$D$26-Parametros!$B$23-Parametros!$B$6-Parametros!$B$5-Parametros!$F$26)))</f>
        <v>65.333333333333272</v>
      </c>
      <c r="O20" s="18">
        <f>IF((1-Parametros!$D$27-Parametros!$B$23-Parametros!$B$6-Parametros!$B$5-Parametros!$F$27)&lt;=0,1000000000,MAX(Parametros!$B$27,(D20+Parametros!$E$27+Parametros!$B$24)/(1-Parametros!$D$27-Parametros!$B$23-Parametros!$B$6-Parametros!$B$5-Parametros!$F$27)))</f>
        <v>14.142857142857141</v>
      </c>
      <c r="P20" s="19">
        <f>IF(Parametros!$B$8=1,CEILING(IF(N20&lt;Parametros!$C$26,N20,O20)+0.1,1)-0.1,ROUNDUP(IF(N20&lt;Parametros!$C$26,N20,O20),2))</f>
        <v>14.9</v>
      </c>
      <c r="Q20" s="18">
        <f>P20-P20*(INDEX(Parametros!$D$26:$D$27,MATCH(P20,Parametros!$B$26:$B$27,1))+Parametros!$B$23+Parametros!$B$6+INDEX(Parametros!$F$26:$F$27,MATCH(P20,Parametros!$B$26:$B$27,1)))-INDEX(Parametros!$E$26:$E$27,MATCH(P20,Parametros!$B$26:$B$27,1))-Parametros!$B$24-D20</f>
        <v>3.4039999999999999</v>
      </c>
      <c r="R20" s="15">
        <f t="shared" si="1"/>
        <v>0.22845637583892617</v>
      </c>
      <c r="S20" s="18">
        <f>IF((1-Parametros!$D$33-Parametros!$B$30-Parametros!$B$6-Parametros!$B$5-Parametros!$F$33)&lt;=0,1000000000,MAX(Parametros!$B$33,(D20+Parametros!$E$33+Parametros!$B$31)/(1-Parametros!$D$33-Parametros!$B$30-Parametros!$B$6-Parametros!$B$5-Parametros!$F$33)))</f>
        <v>12.000000000000002</v>
      </c>
      <c r="T20" s="18">
        <f>IF((1-Parametros!$D$34-Parametros!$B$30-Parametros!$B$6-Parametros!$B$5-Parametros!$F$34)&lt;=0,1000000000,MAX(Parametros!$B$34,(D20+Parametros!$E$34+Parametros!$B$31)/(1-Parametros!$D$34-Parametros!$B$30-Parametros!$B$6-Parametros!$B$5-Parametros!$F$34)))</f>
        <v>50</v>
      </c>
      <c r="U20" s="19">
        <f>IF(Parametros!$B$8=1,CEILING(IF(S20&lt;Parametros!$C$33,S20,T20)+0.1,1)-0.1,ROUNDUP(IF(S20&lt;Parametros!$C$33,S20,T20),2))</f>
        <v>12.9</v>
      </c>
      <c r="V20" s="18">
        <f>U20-U20*(INDEX(Parametros!$D$33:$D$34,MATCH(U20,Parametros!$B$33:$B$34,1))+Parametros!$B$30+Parametros!$B$6+INDEX(Parametros!$F$33:$F$34,MATCH(U20,Parametros!$B$33:$B$34,1)))-INDEX(Parametros!$E$33:$E$34,MATCH(U20,Parametros!$B$33:$B$34,1))-Parametros!$B$31-D20</f>
        <v>3.1739999999999995</v>
      </c>
      <c r="W20" s="15">
        <f t="shared" si="2"/>
        <v>0.24604651162790692</v>
      </c>
      <c r="X20" s="19">
        <f>IF(Parametros!$B$8=1,CEILING((D20+Parametros!$B$39)/(1-Parametros!$B$37-Parametros!$B$38-Parametros!$B$6-Parametros!$B$9)+0.1,1)-0.1,ROUNDUP((D20+Parametros!$B$39)/(1-Parametros!$B$37-Parametros!$B$38-Parametros!$B$6-Parametros!$B$9),2))</f>
        <v>8.9</v>
      </c>
      <c r="Y20" s="18">
        <f>X20-X20*(Parametros!$B$37+Parametros!$B$38+Parametros!$B$6)-Parametros!$B$39-D20</f>
        <v>4.6240000000000006</v>
      </c>
      <c r="Z20" s="15">
        <f t="shared" si="3"/>
        <v>0.51955056179775283</v>
      </c>
    </row>
    <row r="21" spans="1:26" ht="15" customHeight="1" x14ac:dyDescent="0.3">
      <c r="A21" s="7">
        <f>Planilha1!A21</f>
        <v>18</v>
      </c>
      <c r="B21" s="7" t="str">
        <f>Planilha1!B21</f>
        <v>Raspador de Sache</v>
      </c>
      <c r="C21" s="18">
        <f>Planilha1!C21</f>
        <v>3.86</v>
      </c>
      <c r="D21" s="18">
        <f>C21+Parametros!$B$7</f>
        <v>4.8599999999999994</v>
      </c>
      <c r="E21" s="19">
        <f>IF(Parametros!$B$8=1,CEILING(D21/(1-Parametros!$B$9-Parametros!$B$6)+0.1,1)-0.1,ROUNDUP(D21/(1-Parametros!$B$9-Parametros!$B$6),2))</f>
        <v>10.9</v>
      </c>
      <c r="F21" s="18">
        <f>IF((1-Parametros!$D$15-Parametros!$B$12-Parametros!$B$6-Parametros!$B$5-Parametros!$F$15)&lt;=0,1000000000,MAX(Parametros!$B$15,(D21+Parametros!$E$15+Parametros!$B$13)/(1-Parametros!$D$15-Parametros!$B$12-Parametros!$B$6-Parametros!$B$5-Parametros!$F$15)))</f>
        <v>40.500000000000036</v>
      </c>
      <c r="G21" s="18">
        <f>IF((1-Parametros!$D$16-Parametros!$B$12-Parametros!$B$6-Parametros!$B$5-Parametros!$F$16)&lt;=0,1000000000,MAX(Parametros!$B$16,(D21+Parametros!$E$16+Parametros!$B$13)/(1-Parametros!$D$16-Parametros!$B$12-Parametros!$B$6-Parametros!$B$5-Parametros!$F$16)))</f>
        <v>17.91935483870968</v>
      </c>
      <c r="H21" s="18">
        <f>IF((1-Parametros!$D$17-Parametros!$B$12-Parametros!$B$6-Parametros!$B$5-Parametros!$F$17)&lt;=0,1000000000,MAX(Parametros!$B$17,(D21+Parametros!$E$17+Parametros!$B$13)/(1-Parametros!$D$17-Parametros!$B$12-Parametros!$B$6-Parametros!$B$5-Parametros!$F$17)))</f>
        <v>29</v>
      </c>
      <c r="I21" s="18">
        <f>IF((1-Parametros!$D$18-Parametros!$B$12-Parametros!$B$6-Parametros!$B$5-Parametros!$F$18)&lt;=0,1000000000,MAX(Parametros!$B$18,(D21+Parametros!$E$18+Parametros!$B$13)/(1-Parametros!$D$18-Parametros!$B$12-Parametros!$B$6-Parametros!$B$5-Parametros!$F$18)))</f>
        <v>50</v>
      </c>
      <c r="J21" s="18">
        <f>IF((1-Parametros!$D$19-Parametros!$B$12-Parametros!$B$6-Parametros!$B$5-Parametros!$F$19)&lt;=0,1000000000,MAX(Parametros!$B$19,(D21+Parametros!$E$19+Parametros!$B$13)/(1-Parametros!$D$19-Parametros!$B$12-Parametros!$B$6-Parametros!$B$5-Parametros!$F$19)))</f>
        <v>79</v>
      </c>
      <c r="K21" s="19">
        <f>IF(Parametros!$B$8=1,CEILING(IF(F21&lt;Parametros!$C$15,F21,IF(G21&lt;Parametros!$C$16,G21,IF(H21&lt;Parametros!$C$17,H21,IF(I21&lt;Parametros!$C$18,I21,J21))))+0.1,1)-0.1,ROUNDUP(IF(F21&lt;Parametros!$C$15,F21,IF(G21&lt;Parametros!$C$16,G21,IF(H21&lt;Parametros!$C$17,H21,IF(I21&lt;Parametros!$C$18,I21,J21)))),2))</f>
        <v>18.899999999999999</v>
      </c>
      <c r="L21" s="18">
        <f>K21-K21*(INDEX(Parametros!$D$15:$D$19,MATCH(K21,Parametros!$B$15:$B$19,1))+Parametros!$B$12+Parametros!$B$6+INDEX(Parametros!$F$15:$F$19,MATCH(K21,Parametros!$B$15:$B$19,1)))-INDEX(Parametros!$E$15:$E$19,MATCH(K21,Parametros!$B$15:$B$19,1))-Parametros!$B$13-D21</f>
        <v>4.3879999999999981</v>
      </c>
      <c r="M21" s="15">
        <f t="shared" si="0"/>
        <v>0.23216931216931208</v>
      </c>
      <c r="N21" s="18">
        <f>IF((1-Parametros!$D$26-Parametros!$B$23-Parametros!$B$6-Parametros!$B$5-Parametros!$F$26)&lt;=0,1000000000,MAX(Parametros!$B$26,(D21+Parametros!$E$26+Parametros!$B$24)/(1-Parametros!$D$26-Parametros!$B$23-Parametros!$B$6-Parametros!$B$5-Parametros!$F$26)))</f>
        <v>80.999999999999915</v>
      </c>
      <c r="O21" s="18">
        <f>IF((1-Parametros!$D$27-Parametros!$B$23-Parametros!$B$6-Parametros!$B$5-Parametros!$F$27)&lt;=0,1000000000,MAX(Parametros!$B$27,(D21+Parametros!$E$27+Parametros!$B$24)/(1-Parametros!$D$27-Parametros!$B$23-Parametros!$B$6-Parametros!$B$5-Parametros!$F$27)))</f>
        <v>15.821428571428569</v>
      </c>
      <c r="P21" s="19">
        <f>IF(Parametros!$B$8=1,CEILING(IF(N21&lt;Parametros!$C$26,N21,O21)+0.1,1)-0.1,ROUNDUP(IF(N21&lt;Parametros!$C$26,N21,O21),2))</f>
        <v>15.9</v>
      </c>
      <c r="Q21" s="18">
        <f>P21-P21*(INDEX(Parametros!$D$26:$D$27,MATCH(P21,Parametros!$B$26:$B$27,1))+Parametros!$B$23+Parametros!$B$6+INDEX(Parametros!$F$26:$F$27,MATCH(P21,Parametros!$B$26:$B$27,1)))-INDEX(Parametros!$E$26:$E$27,MATCH(P21,Parametros!$B$26:$B$27,1))-Parametros!$B$24-D21</f>
        <v>3.2240000000000002</v>
      </c>
      <c r="R21" s="15">
        <f t="shared" si="1"/>
        <v>0.2027672955974843</v>
      </c>
      <c r="S21" s="18">
        <f>IF((1-Parametros!$D$33-Parametros!$B$30-Parametros!$B$6-Parametros!$B$5-Parametros!$F$33)&lt;=0,1000000000,MAX(Parametros!$B$33,(D21+Parametros!$E$33+Parametros!$B$31)/(1-Parametros!$D$33-Parametros!$B$30-Parametros!$B$6-Parametros!$B$5-Parametros!$F$33)))</f>
        <v>13.424242424242426</v>
      </c>
      <c r="T21" s="18">
        <f>IF((1-Parametros!$D$34-Parametros!$B$30-Parametros!$B$6-Parametros!$B$5-Parametros!$F$34)&lt;=0,1000000000,MAX(Parametros!$B$34,(D21+Parametros!$E$34+Parametros!$B$31)/(1-Parametros!$D$34-Parametros!$B$30-Parametros!$B$6-Parametros!$B$5-Parametros!$F$34)))</f>
        <v>50</v>
      </c>
      <c r="U21" s="19">
        <f>IF(Parametros!$B$8=1,CEILING(IF(S21&lt;Parametros!$C$33,S21,T21)+0.1,1)-0.1,ROUNDUP(IF(S21&lt;Parametros!$C$33,S21,T21),2))</f>
        <v>13.9</v>
      </c>
      <c r="V21" s="18">
        <f>U21-U21*(INDEX(Parametros!$D$33:$D$34,MATCH(U21,Parametros!$B$33:$B$34,1))+Parametros!$B$30+Parametros!$B$6+INDEX(Parametros!$F$33:$F$34,MATCH(U21,Parametros!$B$33:$B$34,1)))-INDEX(Parametros!$E$33:$E$34,MATCH(U21,Parametros!$B$33:$B$34,1))-Parametros!$B$31-D21</f>
        <v>3.0940000000000012</v>
      </c>
      <c r="W21" s="15">
        <f t="shared" si="2"/>
        <v>0.22258992805755404</v>
      </c>
      <c r="X21" s="19">
        <f>IF(Parametros!$B$8=1,CEILING((D21+Parametros!$B$39)/(1-Parametros!$B$37-Parametros!$B$38-Parametros!$B$6-Parametros!$B$9)+0.1,1)-0.1,ROUNDUP((D21+Parametros!$B$39)/(1-Parametros!$B$37-Parametros!$B$38-Parametros!$B$6-Parametros!$B$9),2))</f>
        <v>10.9</v>
      </c>
      <c r="Y21" s="18">
        <f>X21-X21*(Parametros!$B$37+Parametros!$B$38+Parametros!$B$6)-Parametros!$B$39-D21</f>
        <v>5.604000000000001</v>
      </c>
      <c r="Z21" s="15">
        <f t="shared" si="3"/>
        <v>0.51412844036697258</v>
      </c>
    </row>
    <row r="22" spans="1:26" ht="15" customHeight="1" x14ac:dyDescent="0.3">
      <c r="A22" s="7">
        <f>Planilha1!A22</f>
        <v>19</v>
      </c>
      <c r="B22" s="7" t="str">
        <f>Planilha1!B22</f>
        <v>Suporte de celular grande</v>
      </c>
      <c r="C22" s="18">
        <f>Planilha1!C22</f>
        <v>6.71</v>
      </c>
      <c r="D22" s="18">
        <f>C22+Parametros!$B$7</f>
        <v>7.71</v>
      </c>
      <c r="E22" s="19">
        <f>IF(Parametros!$B$8=1,CEILING(D22/(1-Parametros!$B$9-Parametros!$B$6)+0.1,1)-0.1,ROUNDUP(D22/(1-Parametros!$B$9-Parametros!$B$6),2))</f>
        <v>16.899999999999999</v>
      </c>
      <c r="F22" s="18">
        <f>IF((1-Parametros!$D$15-Parametros!$B$12-Parametros!$B$6-Parametros!$B$5-Parametros!$F$15)&lt;=0,1000000000,MAX(Parametros!$B$15,(D22+Parametros!$E$15+Parametros!$B$13)/(1-Parametros!$D$15-Parametros!$B$12-Parametros!$B$6-Parametros!$B$5-Parametros!$F$15)))</f>
        <v>64.250000000000057</v>
      </c>
      <c r="G22" s="18">
        <f>IF((1-Parametros!$D$16-Parametros!$B$12-Parametros!$B$6-Parametros!$B$5-Parametros!$F$16)&lt;=0,1000000000,MAX(Parametros!$B$16,(D22+Parametros!$E$16+Parametros!$B$13)/(1-Parametros!$D$16-Parametros!$B$12-Parametros!$B$6-Parametros!$B$5-Parametros!$F$16)))</f>
        <v>22.516129032258071</v>
      </c>
      <c r="H22" s="18">
        <f>IF((1-Parametros!$D$17-Parametros!$B$12-Parametros!$B$6-Parametros!$B$5-Parametros!$F$17)&lt;=0,1000000000,MAX(Parametros!$B$17,(D22+Parametros!$E$17+Parametros!$B$13)/(1-Parametros!$D$17-Parametros!$B$12-Parametros!$B$6-Parametros!$B$5-Parametros!$F$17)))</f>
        <v>29</v>
      </c>
      <c r="I22" s="18">
        <f>IF((1-Parametros!$D$18-Parametros!$B$12-Parametros!$B$6-Parametros!$B$5-Parametros!$F$18)&lt;=0,1000000000,MAX(Parametros!$B$18,(D22+Parametros!$E$18+Parametros!$B$13)/(1-Parametros!$D$18-Parametros!$B$12-Parametros!$B$6-Parametros!$B$5-Parametros!$F$18)))</f>
        <v>50</v>
      </c>
      <c r="J22" s="18">
        <f>IF((1-Parametros!$D$19-Parametros!$B$12-Parametros!$B$6-Parametros!$B$5-Parametros!$F$19)&lt;=0,1000000000,MAX(Parametros!$B$19,(D22+Parametros!$E$19+Parametros!$B$13)/(1-Parametros!$D$19-Parametros!$B$12-Parametros!$B$6-Parametros!$B$5-Parametros!$F$19)))</f>
        <v>79</v>
      </c>
      <c r="K22" s="19">
        <f>IF(Parametros!$B$8=1,CEILING(IF(F22&lt;Parametros!$C$15,F22,IF(G22&lt;Parametros!$C$16,G22,IF(H22&lt;Parametros!$C$17,H22,IF(I22&lt;Parametros!$C$18,I22,J22))))+0.1,1)-0.1,ROUNDUP(IF(F22&lt;Parametros!$C$15,F22,IF(G22&lt;Parametros!$C$16,G22,IF(H22&lt;Parametros!$C$17,H22,IF(I22&lt;Parametros!$C$18,I22,J22)))),2))</f>
        <v>22.9</v>
      </c>
      <c r="L22" s="18">
        <f>K22-K22*(INDEX(Parametros!$D$15:$D$19,MATCH(K22,Parametros!$B$15:$B$19,1))+Parametros!$B$12+Parametros!$B$6+INDEX(Parametros!$F$15:$F$19,MATCH(K22,Parametros!$B$15:$B$19,1)))-INDEX(Parametros!$E$15:$E$19,MATCH(K22,Parametros!$B$15:$B$19,1))-Parametros!$B$13-D22</f>
        <v>4.8179999999999987</v>
      </c>
      <c r="M22" s="15">
        <f t="shared" si="0"/>
        <v>0.21039301310043665</v>
      </c>
      <c r="N22" s="18">
        <f>IF((1-Parametros!$D$26-Parametros!$B$23-Parametros!$B$6-Parametros!$B$5-Parametros!$F$26)&lt;=0,1000000000,MAX(Parametros!$B$26,(D22+Parametros!$E$26+Parametros!$B$24)/(1-Parametros!$D$26-Parametros!$B$23-Parametros!$B$6-Parametros!$B$5-Parametros!$F$26)))</f>
        <v>128.49999999999989</v>
      </c>
      <c r="O22" s="18">
        <f>IF((1-Parametros!$D$27-Parametros!$B$23-Parametros!$B$6-Parametros!$B$5-Parametros!$F$27)&lt;=0,1000000000,MAX(Parametros!$B$27,(D22+Parametros!$E$27+Parametros!$B$24)/(1-Parametros!$D$27-Parametros!$B$23-Parametros!$B$6-Parametros!$B$5-Parametros!$F$27)))</f>
        <v>20.910714285714285</v>
      </c>
      <c r="P22" s="19">
        <f>IF(Parametros!$B$8=1,CEILING(IF(N22&lt;Parametros!$C$26,N22,O22)+0.1,1)-0.1,ROUNDUP(IF(N22&lt;Parametros!$C$26,N22,O22),2))</f>
        <v>21.9</v>
      </c>
      <c r="Q22" s="18">
        <f>P22-P22*(INDEX(Parametros!$D$26:$D$27,MATCH(P22,Parametros!$B$26:$B$27,1))+Parametros!$B$23+Parametros!$B$6+INDEX(Parametros!$F$26:$F$27,MATCH(P22,Parametros!$B$26:$B$27,1)))-INDEX(Parametros!$E$26:$E$27,MATCH(P22,Parametros!$B$26:$B$27,1))-Parametros!$B$24-D22</f>
        <v>4.9339999999999984</v>
      </c>
      <c r="R22" s="15">
        <f t="shared" si="1"/>
        <v>0.22529680365296798</v>
      </c>
      <c r="S22" s="18">
        <f>IF((1-Parametros!$D$33-Parametros!$B$30-Parametros!$B$6-Parametros!$B$5-Parametros!$F$33)&lt;=0,1000000000,MAX(Parametros!$B$33,(D22+Parametros!$E$33+Parametros!$B$31)/(1-Parametros!$D$33-Parametros!$B$30-Parametros!$B$6-Parametros!$B$5-Parametros!$F$33)))</f>
        <v>17.742424242424246</v>
      </c>
      <c r="T22" s="18">
        <f>IF((1-Parametros!$D$34-Parametros!$B$30-Parametros!$B$6-Parametros!$B$5-Parametros!$F$34)&lt;=0,1000000000,MAX(Parametros!$B$34,(D22+Parametros!$E$34+Parametros!$B$31)/(1-Parametros!$D$34-Parametros!$B$30-Parametros!$B$6-Parametros!$B$5-Parametros!$F$34)))</f>
        <v>50</v>
      </c>
      <c r="U22" s="19">
        <f>IF(Parametros!$B$8=1,CEILING(IF(S22&lt;Parametros!$C$33,S22,T22)+0.1,1)-0.1,ROUNDUP(IF(S22&lt;Parametros!$C$33,S22,T22),2))</f>
        <v>17.899999999999999</v>
      </c>
      <c r="V22" s="18">
        <f>U22-U22*(INDEX(Parametros!$D$33:$D$34,MATCH(U22,Parametros!$B$33:$B$34,1))+Parametros!$B$30+Parametros!$B$6+INDEX(Parametros!$F$33:$F$34,MATCH(U22,Parametros!$B$33:$B$34,1)))-INDEX(Parametros!$E$33:$E$34,MATCH(U22,Parametros!$B$33:$B$34,1))-Parametros!$B$31-D22</f>
        <v>3.6839999999999984</v>
      </c>
      <c r="W22" s="15">
        <f t="shared" si="2"/>
        <v>0.20581005586592171</v>
      </c>
      <c r="X22" s="19">
        <f>IF(Parametros!$B$8=1,CEILING((D22+Parametros!$B$39)/(1-Parametros!$B$37-Parametros!$B$38-Parametros!$B$6-Parametros!$B$9)+0.1,1)-0.1,ROUNDUP((D22+Parametros!$B$39)/(1-Parametros!$B$37-Parametros!$B$38-Parametros!$B$6-Parametros!$B$9),2))</f>
        <v>16.899999999999999</v>
      </c>
      <c r="Y22" s="18">
        <f>X22-X22*(Parametros!$B$37+Parametros!$B$38+Parametros!$B$6)-Parametros!$B$39-D22</f>
        <v>8.5139999999999993</v>
      </c>
      <c r="Z22" s="15">
        <f t="shared" si="3"/>
        <v>0.5037869822485207</v>
      </c>
    </row>
    <row r="23" spans="1:26" ht="15" customHeight="1" x14ac:dyDescent="0.3">
      <c r="A23" s="7">
        <f>Planilha1!A23</f>
        <v>20</v>
      </c>
      <c r="B23" s="7" t="str">
        <f>Planilha1!B23</f>
        <v>Pingente para letras</v>
      </c>
      <c r="C23" s="18">
        <f>Planilha1!C23</f>
        <v>2.2000000000000002</v>
      </c>
      <c r="D23" s="18">
        <f>C23+Parametros!$B$7</f>
        <v>3.2</v>
      </c>
      <c r="E23" s="19">
        <f>IF(Parametros!$B$8=1,CEILING(D23/(1-Parametros!$B$9-Parametros!$B$6)+0.1,1)-0.1,ROUNDUP(D23/(1-Parametros!$B$9-Parametros!$B$6),2))</f>
        <v>7.9</v>
      </c>
      <c r="F23" s="18">
        <f>IF((1-Parametros!$D$15-Parametros!$B$12-Parametros!$B$6-Parametros!$B$5-Parametros!$F$15)&lt;=0,1000000000,MAX(Parametros!$B$15,(D23+Parametros!$E$15+Parametros!$B$13)/(1-Parametros!$D$15-Parametros!$B$12-Parametros!$B$6-Parametros!$B$5-Parametros!$F$15)))</f>
        <v>26.666666666666693</v>
      </c>
      <c r="G23" s="18">
        <f>IF((1-Parametros!$D$16-Parametros!$B$12-Parametros!$B$6-Parametros!$B$5-Parametros!$F$16)&lt;=0,1000000000,MAX(Parametros!$B$16,(D23+Parametros!$E$16+Parametros!$B$13)/(1-Parametros!$D$16-Parametros!$B$12-Parametros!$B$6-Parametros!$B$5-Parametros!$F$16)))</f>
        <v>15.24193548387097</v>
      </c>
      <c r="H23" s="18">
        <f>IF((1-Parametros!$D$17-Parametros!$B$12-Parametros!$B$6-Parametros!$B$5-Parametros!$F$17)&lt;=0,1000000000,MAX(Parametros!$B$17,(D23+Parametros!$E$17+Parametros!$B$13)/(1-Parametros!$D$17-Parametros!$B$12-Parametros!$B$6-Parametros!$B$5-Parametros!$F$17)))</f>
        <v>29</v>
      </c>
      <c r="I23" s="18">
        <f>IF((1-Parametros!$D$18-Parametros!$B$12-Parametros!$B$6-Parametros!$B$5-Parametros!$F$18)&lt;=0,1000000000,MAX(Parametros!$B$18,(D23+Parametros!$E$18+Parametros!$B$13)/(1-Parametros!$D$18-Parametros!$B$12-Parametros!$B$6-Parametros!$B$5-Parametros!$F$18)))</f>
        <v>50</v>
      </c>
      <c r="J23" s="18">
        <f>IF((1-Parametros!$D$19-Parametros!$B$12-Parametros!$B$6-Parametros!$B$5-Parametros!$F$19)&lt;=0,1000000000,MAX(Parametros!$B$19,(D23+Parametros!$E$19+Parametros!$B$13)/(1-Parametros!$D$19-Parametros!$B$12-Parametros!$B$6-Parametros!$B$5-Parametros!$F$19)))</f>
        <v>79</v>
      </c>
      <c r="K23" s="19">
        <f>IF(Parametros!$B$8=1,CEILING(IF(F23&lt;Parametros!$C$15,F23,IF(G23&lt;Parametros!$C$16,G23,IF(H23&lt;Parametros!$C$17,H23,IF(I23&lt;Parametros!$C$18,I23,J23))))+0.1,1)-0.1,ROUNDUP(IF(F23&lt;Parametros!$C$15,F23,IF(G23&lt;Parametros!$C$16,G23,IF(H23&lt;Parametros!$C$17,H23,IF(I23&lt;Parametros!$C$18,I23,J23)))),2))</f>
        <v>15.9</v>
      </c>
      <c r="L23" s="18">
        <f>K23-K23*(INDEX(Parametros!$D$15:$D$19,MATCH(K23,Parametros!$B$15:$B$19,1))+Parametros!$B$12+Parametros!$B$6+INDEX(Parametros!$F$15:$F$19,MATCH(K23,Parametros!$B$15:$B$19,1)))-INDEX(Parametros!$E$15:$E$19,MATCH(K23,Parametros!$B$15:$B$19,1))-Parametros!$B$13-D23</f>
        <v>3.5880000000000001</v>
      </c>
      <c r="M23" s="15">
        <f t="shared" si="0"/>
        <v>0.22566037735849057</v>
      </c>
      <c r="N23" s="18">
        <f>IF((1-Parametros!$D$26-Parametros!$B$23-Parametros!$B$6-Parametros!$B$5-Parametros!$F$26)&lt;=0,1000000000,MAX(Parametros!$B$26,(D23+Parametros!$E$26+Parametros!$B$24)/(1-Parametros!$D$26-Parametros!$B$23-Parametros!$B$6-Parametros!$B$5-Parametros!$F$26)))</f>
        <v>53.333333333333286</v>
      </c>
      <c r="O23" s="18">
        <f>IF((1-Parametros!$D$27-Parametros!$B$23-Parametros!$B$6-Parametros!$B$5-Parametros!$F$27)&lt;=0,1000000000,MAX(Parametros!$B$27,(D23+Parametros!$E$27+Parametros!$B$24)/(1-Parametros!$D$27-Parametros!$B$23-Parametros!$B$6-Parametros!$B$5-Parametros!$F$27)))</f>
        <v>12.857142857142856</v>
      </c>
      <c r="P23" s="19">
        <f>IF(Parametros!$B$8=1,CEILING(IF(N23&lt;Parametros!$C$26,N23,O23)+0.1,1)-0.1,ROUNDUP(IF(N23&lt;Parametros!$C$26,N23,O23),2))</f>
        <v>12.9</v>
      </c>
      <c r="Q23" s="18">
        <f>P23-P23*(INDEX(Parametros!$D$26:$D$27,MATCH(P23,Parametros!$B$26:$B$27,1))+Parametros!$B$23+Parametros!$B$6+INDEX(Parametros!$F$26:$F$27,MATCH(P23,Parametros!$B$26:$B$27,1)))-INDEX(Parametros!$E$26:$E$27,MATCH(P23,Parametros!$B$26:$B$27,1))-Parametros!$B$24-D23</f>
        <v>2.6040000000000001</v>
      </c>
      <c r="R23" s="15">
        <f t="shared" si="1"/>
        <v>0.20186046511627906</v>
      </c>
      <c r="S23" s="18">
        <f>IF((1-Parametros!$D$33-Parametros!$B$30-Parametros!$B$6-Parametros!$B$5-Parametros!$F$33)&lt;=0,1000000000,MAX(Parametros!$B$33,(D23+Parametros!$E$33+Parametros!$B$31)/(1-Parametros!$D$33-Parametros!$B$30-Parametros!$B$6-Parametros!$B$5-Parametros!$F$33)))</f>
        <v>10.90909090909091</v>
      </c>
      <c r="T23" s="18">
        <f>IF((1-Parametros!$D$34-Parametros!$B$30-Parametros!$B$6-Parametros!$B$5-Parametros!$F$34)&lt;=0,1000000000,MAX(Parametros!$B$34,(D23+Parametros!$E$34+Parametros!$B$31)/(1-Parametros!$D$34-Parametros!$B$30-Parametros!$B$6-Parametros!$B$5-Parametros!$F$34)))</f>
        <v>50</v>
      </c>
      <c r="U23" s="19">
        <f>IF(Parametros!$B$8=1,CEILING(IF(S23&lt;Parametros!$C$33,S23,T23)+0.1,1)-0.1,ROUNDUP(IF(S23&lt;Parametros!$C$33,S23,T23),2))</f>
        <v>11.9</v>
      </c>
      <c r="V23" s="18">
        <f>U23-U23*(INDEX(Parametros!$D$33:$D$34,MATCH(U23,Parametros!$B$33:$B$34,1))+Parametros!$B$30+Parametros!$B$6+INDEX(Parametros!$F$33:$F$34,MATCH(U23,Parametros!$B$33:$B$34,1)))-INDEX(Parametros!$E$33:$E$34,MATCH(U23,Parametros!$B$33:$B$34,1))-Parametros!$B$31-D23</f>
        <v>3.0339999999999998</v>
      </c>
      <c r="W23" s="15">
        <f t="shared" si="2"/>
        <v>0.25495798319327728</v>
      </c>
      <c r="X23" s="19">
        <f>IF(Parametros!$B$8=1,CEILING((D23+Parametros!$B$39)/(1-Parametros!$B$37-Parametros!$B$38-Parametros!$B$6-Parametros!$B$9)+0.1,1)-0.1,ROUNDUP((D23+Parametros!$B$39)/(1-Parametros!$B$37-Parametros!$B$38-Parametros!$B$6-Parametros!$B$9),2))</f>
        <v>7.9</v>
      </c>
      <c r="Y23" s="18">
        <f>X23-X23*(Parametros!$B$37+Parametros!$B$38+Parametros!$B$6)-Parametros!$B$39-D23</f>
        <v>4.3840000000000003</v>
      </c>
      <c r="Z23" s="15">
        <f t="shared" si="3"/>
        <v>0.55493670886075952</v>
      </c>
    </row>
    <row r="24" spans="1:26" ht="15" customHeight="1" x14ac:dyDescent="0.3">
      <c r="A24" s="7">
        <f>Planilha1!A24</f>
        <v>21</v>
      </c>
      <c r="B24" s="7" t="str">
        <f>Planilha1!B24</f>
        <v>Tampa 75 mm + pingente</v>
      </c>
      <c r="C24" s="18">
        <f>Planilha1!C24</f>
        <v>3.32</v>
      </c>
      <c r="D24" s="18">
        <f>C24+Parametros!$B$7</f>
        <v>4.32</v>
      </c>
      <c r="E24" s="19">
        <f>IF(Parametros!$B$8=1,CEILING(D24/(1-Parametros!$B$9-Parametros!$B$6)+0.1,1)-0.1,ROUNDUP(D24/(1-Parametros!$B$9-Parametros!$B$6),2))</f>
        <v>9.9</v>
      </c>
      <c r="F24" s="18">
        <f>IF((1-Parametros!$D$15-Parametros!$B$12-Parametros!$B$6-Parametros!$B$5-Parametros!$F$15)&lt;=0,1000000000,MAX(Parametros!$B$15,(D24+Parametros!$E$15+Parametros!$B$13)/(1-Parametros!$D$15-Parametros!$B$12-Parametros!$B$6-Parametros!$B$5-Parametros!$F$15)))</f>
        <v>36.000000000000036</v>
      </c>
      <c r="G24" s="18">
        <f>IF((1-Parametros!$D$16-Parametros!$B$12-Parametros!$B$6-Parametros!$B$5-Parametros!$F$16)&lt;=0,1000000000,MAX(Parametros!$B$16,(D24+Parametros!$E$16+Parametros!$B$13)/(1-Parametros!$D$16-Parametros!$B$12-Parametros!$B$6-Parametros!$B$5-Parametros!$F$16)))</f>
        <v>17.048387096774196</v>
      </c>
      <c r="H24" s="18">
        <f>IF((1-Parametros!$D$17-Parametros!$B$12-Parametros!$B$6-Parametros!$B$5-Parametros!$F$17)&lt;=0,1000000000,MAX(Parametros!$B$17,(D24+Parametros!$E$17+Parametros!$B$13)/(1-Parametros!$D$17-Parametros!$B$12-Parametros!$B$6-Parametros!$B$5-Parametros!$F$17)))</f>
        <v>29</v>
      </c>
      <c r="I24" s="18">
        <f>IF((1-Parametros!$D$18-Parametros!$B$12-Parametros!$B$6-Parametros!$B$5-Parametros!$F$18)&lt;=0,1000000000,MAX(Parametros!$B$18,(D24+Parametros!$E$18+Parametros!$B$13)/(1-Parametros!$D$18-Parametros!$B$12-Parametros!$B$6-Parametros!$B$5-Parametros!$F$18)))</f>
        <v>50</v>
      </c>
      <c r="J24" s="18">
        <f>IF((1-Parametros!$D$19-Parametros!$B$12-Parametros!$B$6-Parametros!$B$5-Parametros!$F$19)&lt;=0,1000000000,MAX(Parametros!$B$19,(D24+Parametros!$E$19+Parametros!$B$13)/(1-Parametros!$D$19-Parametros!$B$12-Parametros!$B$6-Parametros!$B$5-Parametros!$F$19)))</f>
        <v>79</v>
      </c>
      <c r="K24" s="19">
        <f>IF(Parametros!$B$8=1,CEILING(IF(F24&lt;Parametros!$C$15,F24,IF(G24&lt;Parametros!$C$16,G24,IF(H24&lt;Parametros!$C$17,H24,IF(I24&lt;Parametros!$C$18,I24,J24))))+0.1,1)-0.1,ROUNDUP(IF(F24&lt;Parametros!$C$15,F24,IF(G24&lt;Parametros!$C$16,G24,IF(H24&lt;Parametros!$C$17,H24,IF(I24&lt;Parametros!$C$18,I24,J24)))),2))</f>
        <v>17.899999999999999</v>
      </c>
      <c r="L24" s="18">
        <f>K24-K24*(INDEX(Parametros!$D$15:$D$19,MATCH(K24,Parametros!$B$15:$B$19,1))+Parametros!$B$12+Parametros!$B$6+INDEX(Parametros!$F$15:$F$19,MATCH(K24,Parametros!$B$15:$B$19,1)))-INDEX(Parametros!$E$15:$E$19,MATCH(K24,Parametros!$B$15:$B$19,1))-Parametros!$B$13-D24</f>
        <v>4.1079999999999988</v>
      </c>
      <c r="M24" s="15">
        <f t="shared" si="0"/>
        <v>0.22949720670391055</v>
      </c>
      <c r="N24" s="18">
        <f>IF((1-Parametros!$D$26-Parametros!$B$23-Parametros!$B$6-Parametros!$B$5-Parametros!$F$26)&lt;=0,1000000000,MAX(Parametros!$B$26,(D24+Parametros!$E$26+Parametros!$B$24)/(1-Parametros!$D$26-Parametros!$B$23-Parametros!$B$6-Parametros!$B$5-Parametros!$F$26)))</f>
        <v>71.999999999999943</v>
      </c>
      <c r="O24" s="18">
        <f>IF((1-Parametros!$D$27-Parametros!$B$23-Parametros!$B$6-Parametros!$B$5-Parametros!$F$27)&lt;=0,1000000000,MAX(Parametros!$B$27,(D24+Parametros!$E$27+Parametros!$B$24)/(1-Parametros!$D$27-Parametros!$B$23-Parametros!$B$6-Parametros!$B$5-Parametros!$F$27)))</f>
        <v>14.857142857142856</v>
      </c>
      <c r="P24" s="19">
        <f>IF(Parametros!$B$8=1,CEILING(IF(N24&lt;Parametros!$C$26,N24,O24)+0.1,1)-0.1,ROUNDUP(IF(N24&lt;Parametros!$C$26,N24,O24),2))</f>
        <v>14.9</v>
      </c>
      <c r="Q24" s="18">
        <f>P24-P24*(INDEX(Parametros!$D$26:$D$27,MATCH(P24,Parametros!$B$26:$B$27,1))+Parametros!$B$23+Parametros!$B$6+INDEX(Parametros!$F$26:$F$27,MATCH(P24,Parametros!$B$26:$B$27,1)))-INDEX(Parametros!$E$26:$E$27,MATCH(P24,Parametros!$B$26:$B$27,1))-Parametros!$B$24-D24</f>
        <v>3.0039999999999996</v>
      </c>
      <c r="R24" s="15">
        <f t="shared" si="1"/>
        <v>0.20161073825503353</v>
      </c>
      <c r="S24" s="18">
        <f>IF((1-Parametros!$D$33-Parametros!$B$30-Parametros!$B$6-Parametros!$B$5-Parametros!$F$33)&lt;=0,1000000000,MAX(Parametros!$B$33,(D24+Parametros!$E$33+Parametros!$B$31)/(1-Parametros!$D$33-Parametros!$B$30-Parametros!$B$6-Parametros!$B$5-Parametros!$F$33)))</f>
        <v>12.606060606060607</v>
      </c>
      <c r="T24" s="18">
        <f>IF((1-Parametros!$D$34-Parametros!$B$30-Parametros!$B$6-Parametros!$B$5-Parametros!$F$34)&lt;=0,1000000000,MAX(Parametros!$B$34,(D24+Parametros!$E$34+Parametros!$B$31)/(1-Parametros!$D$34-Parametros!$B$30-Parametros!$B$6-Parametros!$B$5-Parametros!$F$34)))</f>
        <v>50</v>
      </c>
      <c r="U24" s="19">
        <f>IF(Parametros!$B$8=1,CEILING(IF(S24&lt;Parametros!$C$33,S24,T24)+0.1,1)-0.1,ROUNDUP(IF(S24&lt;Parametros!$C$33,S24,T24),2))</f>
        <v>12.9</v>
      </c>
      <c r="V24" s="18">
        <f>U24-U24*(INDEX(Parametros!$D$33:$D$34,MATCH(U24,Parametros!$B$33:$B$34,1))+Parametros!$B$30+Parametros!$B$6+INDEX(Parametros!$F$33:$F$34,MATCH(U24,Parametros!$B$33:$B$34,1)))-INDEX(Parametros!$E$33:$E$34,MATCH(U24,Parametros!$B$33:$B$34,1))-Parametros!$B$31-D24</f>
        <v>2.7739999999999991</v>
      </c>
      <c r="W24" s="15">
        <f t="shared" si="2"/>
        <v>0.21503875968992242</v>
      </c>
      <c r="X24" s="19">
        <f>IF(Parametros!$B$8=1,CEILING((D24+Parametros!$B$39)/(1-Parametros!$B$37-Parametros!$B$38-Parametros!$B$6-Parametros!$B$9)+0.1,1)-0.1,ROUNDUP((D24+Parametros!$B$39)/(1-Parametros!$B$37-Parametros!$B$38-Parametros!$B$6-Parametros!$B$9),2))</f>
        <v>9.9</v>
      </c>
      <c r="Y24" s="18">
        <f>X24-X24*(Parametros!$B$37+Parametros!$B$38+Parametros!$B$6)-Parametros!$B$39-D24</f>
        <v>5.1839999999999993</v>
      </c>
      <c r="Z24" s="15">
        <f t="shared" si="3"/>
        <v>0.52363636363636357</v>
      </c>
    </row>
    <row r="25" spans="1:26" x14ac:dyDescent="0.3">
      <c r="A25" s="1">
        <v>22</v>
      </c>
      <c r="B25" s="1" t="s">
        <v>31</v>
      </c>
      <c r="C25" s="1">
        <v>4.26</v>
      </c>
      <c r="D25" s="1">
        <v>7.52</v>
      </c>
      <c r="E25" s="19">
        <f>IF(Parametros!$B$8=1,CEILING(D25/(1-Parametros!$B$9-Parametros!$B$6)+0.1,1)-0.1,ROUNDUP(D25/(1-Parametros!$B$9-Parametros!$B$6),2))</f>
        <v>16.899999999999999</v>
      </c>
      <c r="F25" s="18">
        <f>IF((1-Parametros!$D$15-Parametros!$B$12-Parametros!$B$6-Parametros!$B$5-Parametros!$F$15)&lt;=0,1000000000,MAX(Parametros!$B$15,(D25+Parametros!$E$15+Parametros!$B$13)/(1-Parametros!$D$15-Parametros!$B$12-Parametros!$B$6-Parametros!$B$5-Parametros!$F$15)))</f>
        <v>62.666666666666721</v>
      </c>
      <c r="G25" s="18">
        <f>IF((1-Parametros!$D$16-Parametros!$B$12-Parametros!$B$6-Parametros!$B$5-Parametros!$F$16)&lt;=0,1000000000,MAX(Parametros!$B$16,(D25+Parametros!$E$16+Parametros!$B$13)/(1-Parametros!$D$16-Parametros!$B$12-Parametros!$B$6-Parametros!$B$5-Parametros!$F$16)))</f>
        <v>22.209677419354843</v>
      </c>
      <c r="H25" s="18">
        <f>IF((1-Parametros!$D$17-Parametros!$B$12-Parametros!$B$6-Parametros!$B$5-Parametros!$F$17)&lt;=0,1000000000,MAX(Parametros!$B$17,(D25+Parametros!$E$17+Parametros!$B$13)/(1-Parametros!$D$17-Parametros!$B$12-Parametros!$B$6-Parametros!$B$5-Parametros!$F$17)))</f>
        <v>29</v>
      </c>
      <c r="I25" s="18">
        <f>IF((1-Parametros!$D$18-Parametros!$B$12-Parametros!$B$6-Parametros!$B$5-Parametros!$F$18)&lt;=0,1000000000,MAX(Parametros!$B$18,(D25+Parametros!$E$18+Parametros!$B$13)/(1-Parametros!$D$18-Parametros!$B$12-Parametros!$B$6-Parametros!$B$5-Parametros!$F$18)))</f>
        <v>50</v>
      </c>
      <c r="J25" s="18">
        <f>IF((1-Parametros!$D$19-Parametros!$B$12-Parametros!$B$6-Parametros!$B$5-Parametros!$F$19)&lt;=0,1000000000,MAX(Parametros!$B$19,(D25+Parametros!$E$19+Parametros!$B$13)/(1-Parametros!$D$19-Parametros!$B$12-Parametros!$B$6-Parametros!$B$5-Parametros!$F$19)))</f>
        <v>79</v>
      </c>
      <c r="K25" s="19">
        <f>IF(Parametros!$B$8=1,CEILING(IF(F25&lt;Parametros!$C$15,F25,IF(G25&lt;Parametros!$C$16,G25,IF(H25&lt;Parametros!$C$17,H25,IF(I25&lt;Parametros!$C$18,I25,J25))))+0.1,1)-0.1,ROUNDUP(IF(F25&lt;Parametros!$C$15,F25,IF(G25&lt;Parametros!$C$16,G25,IF(H25&lt;Parametros!$C$17,H25,IF(I25&lt;Parametros!$C$18,I25,J25)))),2))</f>
        <v>22.9</v>
      </c>
      <c r="L25" s="18">
        <f>K25-K25*(INDEX(Parametros!$D$15:$D$19,MATCH(K25,Parametros!$B$15:$B$19,1))+Parametros!$B$12+Parametros!$B$6+INDEX(Parametros!$F$15:$F$19,MATCH(K25,Parametros!$B$15:$B$19,1)))-INDEX(Parametros!$E$15:$E$19,MATCH(K25,Parametros!$B$15:$B$19,1))-Parametros!$B$13-D25</f>
        <v>5.0079999999999991</v>
      </c>
      <c r="M25" s="15">
        <f t="shared" ref="M25:M27" si="4">L25/K25</f>
        <v>0.21868995633187771</v>
      </c>
      <c r="N25" s="18">
        <f>IF((1-Parametros!$D$26-Parametros!$B$23-Parametros!$B$6-Parametros!$B$5-Parametros!$F$26)&lt;=0,1000000000,MAX(Parametros!$B$26,(D25+Parametros!$E$26+Parametros!$B$24)/(1-Parametros!$D$26-Parametros!$B$23-Parametros!$B$6-Parametros!$B$5-Parametros!$F$26)))</f>
        <v>125.33333333333321</v>
      </c>
      <c r="O25" s="18">
        <f>IF((1-Parametros!$D$27-Parametros!$B$23-Parametros!$B$6-Parametros!$B$5-Parametros!$F$27)&lt;=0,1000000000,MAX(Parametros!$B$27,(D25+Parametros!$E$27+Parametros!$B$24)/(1-Parametros!$D$27-Parametros!$B$23-Parametros!$B$6-Parametros!$B$5-Parametros!$F$27)))</f>
        <v>20.571428571428569</v>
      </c>
      <c r="P25" s="19">
        <f>IF(Parametros!$B$8=1,CEILING(IF(N25&lt;Parametros!$C$26,N25,O25)+0.1,1)-0.1,ROUNDUP(IF(N25&lt;Parametros!$C$26,N25,O25),2))</f>
        <v>20.9</v>
      </c>
      <c r="Q25" s="18">
        <f>P25-P25*(INDEX(Parametros!$D$26:$D$27,MATCH(P25,Parametros!$B$26:$B$27,1))+Parametros!$B$23+Parametros!$B$6+INDEX(Parametros!$F$26:$F$27,MATCH(P25,Parametros!$B$26:$B$27,1)))-INDEX(Parametros!$E$26:$E$27,MATCH(P25,Parametros!$B$26:$B$27,1))-Parametros!$B$24-D25</f>
        <v>4.363999999999999</v>
      </c>
      <c r="R25" s="15">
        <f t="shared" ref="R25:R27" si="5">Q25/P25</f>
        <v>0.20880382775119613</v>
      </c>
      <c r="S25" s="18">
        <f>IF((1-Parametros!$D$33-Parametros!$B$30-Parametros!$B$6-Parametros!$B$5-Parametros!$F$33)&lt;=0,1000000000,MAX(Parametros!$B$33,(D25+Parametros!$E$33+Parametros!$B$31)/(1-Parametros!$D$33-Parametros!$B$30-Parametros!$B$6-Parametros!$B$5-Parametros!$F$33)))</f>
        <v>17.454545454545457</v>
      </c>
      <c r="T25" s="18">
        <f>IF((1-Parametros!$D$34-Parametros!$B$30-Parametros!$B$6-Parametros!$B$5-Parametros!$F$34)&lt;=0,1000000000,MAX(Parametros!$B$34,(D25+Parametros!$E$34+Parametros!$B$31)/(1-Parametros!$D$34-Parametros!$B$30-Parametros!$B$6-Parametros!$B$5-Parametros!$F$34)))</f>
        <v>50</v>
      </c>
      <c r="U25" s="19">
        <f>IF(Parametros!$B$8=1,CEILING(IF(S25&lt;Parametros!$C$33,S25,T25)+0.1,1)-0.1,ROUNDUP(IF(S25&lt;Parametros!$C$33,S25,T25),2))</f>
        <v>17.899999999999999</v>
      </c>
      <c r="V25" s="18">
        <f>U25-U25*(INDEX(Parametros!$D$33:$D$34,MATCH(U25,Parametros!$B$33:$B$34,1))+Parametros!$B$30+Parametros!$B$6+INDEX(Parametros!$F$33:$F$34,MATCH(U25,Parametros!$B$33:$B$34,1)))-INDEX(Parametros!$E$33:$E$34,MATCH(U25,Parametros!$B$33:$B$34,1))-Parametros!$B$31-D25</f>
        <v>3.8739999999999988</v>
      </c>
      <c r="W25" s="15">
        <f t="shared" ref="W25:W27" si="6">V25/U25</f>
        <v>0.21642458100558654</v>
      </c>
      <c r="X25" s="19">
        <f>IF(Parametros!$B$8=1,CEILING((D25+Parametros!$B$39)/(1-Parametros!$B$37-Parametros!$B$38-Parametros!$B$6-Parametros!$B$9)+0.1,1)-0.1,ROUNDUP((D25+Parametros!$B$39)/(1-Parametros!$B$37-Parametros!$B$38-Parametros!$B$6-Parametros!$B$9),2))</f>
        <v>16.899999999999999</v>
      </c>
      <c r="Y25" s="18">
        <f>X25-X25*(Parametros!$B$37+Parametros!$B$38+Parametros!$B$6)-Parametros!$B$39-D25</f>
        <v>8.7040000000000006</v>
      </c>
      <c r="Z25" s="15">
        <f t="shared" ref="Z25:Z27" si="7">Y25/X25</f>
        <v>0.51502958579881664</v>
      </c>
    </row>
    <row r="26" spans="1:26" x14ac:dyDescent="0.3">
      <c r="A26" s="3">
        <v>23</v>
      </c>
      <c r="B26" s="1" t="s">
        <v>32</v>
      </c>
      <c r="C26" s="1">
        <v>2.75</v>
      </c>
      <c r="D26" s="1">
        <v>4.5</v>
      </c>
      <c r="E26" s="19">
        <f>IF(Parametros!$B$8=1,CEILING(D26/(1-Parametros!$B$9-Parametros!$B$6)+0.1,1)-0.1,ROUNDUP(D26/(1-Parametros!$B$9-Parametros!$B$6),2))</f>
        <v>9.9</v>
      </c>
      <c r="F26" s="18">
        <f>IF((1-Parametros!$D$15-Parametros!$B$12-Parametros!$B$6-Parametros!$B$5-Parametros!$F$15)&lt;=0,1000000000,MAX(Parametros!$B$15,(D26+Parametros!$E$15+Parametros!$B$13)/(1-Parametros!$D$15-Parametros!$B$12-Parametros!$B$6-Parametros!$B$5-Parametros!$F$15)))</f>
        <v>37.500000000000036</v>
      </c>
      <c r="G26" s="18">
        <f>IF((1-Parametros!$D$16-Parametros!$B$12-Parametros!$B$6-Parametros!$B$5-Parametros!$F$16)&lt;=0,1000000000,MAX(Parametros!$B$16,(D26+Parametros!$E$16+Parametros!$B$13)/(1-Parametros!$D$16-Parametros!$B$12-Parametros!$B$6-Parametros!$B$5-Parametros!$F$16)))</f>
        <v>17.338709677419359</v>
      </c>
      <c r="H26" s="18">
        <f>IF((1-Parametros!$D$17-Parametros!$B$12-Parametros!$B$6-Parametros!$B$5-Parametros!$F$17)&lt;=0,1000000000,MAX(Parametros!$B$17,(D26+Parametros!$E$17+Parametros!$B$13)/(1-Parametros!$D$17-Parametros!$B$12-Parametros!$B$6-Parametros!$B$5-Parametros!$F$17)))</f>
        <v>29</v>
      </c>
      <c r="I26" s="18">
        <f>IF((1-Parametros!$D$18-Parametros!$B$12-Parametros!$B$6-Parametros!$B$5-Parametros!$F$18)&lt;=0,1000000000,MAX(Parametros!$B$18,(D26+Parametros!$E$18+Parametros!$B$13)/(1-Parametros!$D$18-Parametros!$B$12-Parametros!$B$6-Parametros!$B$5-Parametros!$F$18)))</f>
        <v>50</v>
      </c>
      <c r="J26" s="18">
        <f>IF((1-Parametros!$D$19-Parametros!$B$12-Parametros!$B$6-Parametros!$B$5-Parametros!$F$19)&lt;=0,1000000000,MAX(Parametros!$B$19,(D26+Parametros!$E$19+Parametros!$B$13)/(1-Parametros!$D$19-Parametros!$B$12-Parametros!$B$6-Parametros!$B$5-Parametros!$F$19)))</f>
        <v>79</v>
      </c>
      <c r="K26" s="19">
        <f>IF(Parametros!$B$8=1,CEILING(IF(F26&lt;Parametros!$C$15,F26,IF(G26&lt;Parametros!$C$16,G26,IF(H26&lt;Parametros!$C$17,H26,IF(I26&lt;Parametros!$C$18,I26,J26))))+0.1,1)-0.1,ROUNDUP(IF(F26&lt;Parametros!$C$15,F26,IF(G26&lt;Parametros!$C$16,G26,IF(H26&lt;Parametros!$C$17,H26,IF(I26&lt;Parametros!$C$18,I26,J26)))),2))</f>
        <v>17.899999999999999</v>
      </c>
      <c r="L26" s="18">
        <f>K26-K26*(INDEX(Parametros!$D$15:$D$19,MATCH(K26,Parametros!$B$15:$B$19,1))+Parametros!$B$12+Parametros!$B$6+INDEX(Parametros!$F$15:$F$19,MATCH(K26,Parametros!$B$15:$B$19,1)))-INDEX(Parametros!$E$15:$E$19,MATCH(K26,Parametros!$B$15:$B$19,1))-Parametros!$B$13-D26</f>
        <v>3.927999999999999</v>
      </c>
      <c r="M26" s="15">
        <f t="shared" si="4"/>
        <v>0.21944134078212288</v>
      </c>
      <c r="N26" s="18">
        <f>IF((1-Parametros!$D$26-Parametros!$B$23-Parametros!$B$6-Parametros!$B$5-Parametros!$F$26)&lt;=0,1000000000,MAX(Parametros!$B$26,(D26+Parametros!$E$26+Parametros!$B$24)/(1-Parametros!$D$26-Parametros!$B$23-Parametros!$B$6-Parametros!$B$5-Parametros!$F$26)))</f>
        <v>74.999999999999929</v>
      </c>
      <c r="O26" s="18">
        <f>IF((1-Parametros!$D$27-Parametros!$B$23-Parametros!$B$6-Parametros!$B$5-Parametros!$F$27)&lt;=0,1000000000,MAX(Parametros!$B$27,(D26+Parametros!$E$27+Parametros!$B$24)/(1-Parametros!$D$27-Parametros!$B$23-Parametros!$B$6-Parametros!$B$5-Parametros!$F$27)))</f>
        <v>15.178571428571427</v>
      </c>
      <c r="P26" s="19">
        <f>IF(Parametros!$B$8=1,CEILING(IF(N26&lt;Parametros!$C$26,N26,O26)+0.1,1)-0.1,ROUNDUP(IF(N26&lt;Parametros!$C$26,N26,O26),2))</f>
        <v>15.9</v>
      </c>
      <c r="Q26" s="18">
        <f>P26-P26*(INDEX(Parametros!$D$26:$D$27,MATCH(P26,Parametros!$B$26:$B$27,1))+Parametros!$B$23+Parametros!$B$6+INDEX(Parametros!$F$26:$F$27,MATCH(P26,Parametros!$B$26:$B$27,1)))-INDEX(Parametros!$E$26:$E$27,MATCH(P26,Parametros!$B$26:$B$27,1))-Parametros!$B$24-D26</f>
        <v>3.5839999999999996</v>
      </c>
      <c r="R26" s="15">
        <f t="shared" si="5"/>
        <v>0.2254088050314465</v>
      </c>
      <c r="S26" s="18">
        <f>IF((1-Parametros!$D$33-Parametros!$B$30-Parametros!$B$6-Parametros!$B$5-Parametros!$F$33)&lt;=0,1000000000,MAX(Parametros!$B$33,(D26+Parametros!$E$33+Parametros!$B$31)/(1-Parametros!$D$33-Parametros!$B$30-Parametros!$B$6-Parametros!$B$5-Parametros!$F$33)))</f>
        <v>12.878787878787881</v>
      </c>
      <c r="T26" s="18">
        <f>IF((1-Parametros!$D$34-Parametros!$B$30-Parametros!$B$6-Parametros!$B$5-Parametros!$F$34)&lt;=0,1000000000,MAX(Parametros!$B$34,(D26+Parametros!$E$34+Parametros!$B$31)/(1-Parametros!$D$34-Parametros!$B$30-Parametros!$B$6-Parametros!$B$5-Parametros!$F$34)))</f>
        <v>50</v>
      </c>
      <c r="U26" s="19">
        <f>IF(Parametros!$B$8=1,CEILING(IF(S26&lt;Parametros!$C$33,S26,T26)+0.1,1)-0.1,ROUNDUP(IF(S26&lt;Parametros!$C$33,S26,T26),2))</f>
        <v>12.9</v>
      </c>
      <c r="V26" s="18">
        <f>U26-U26*(INDEX(Parametros!$D$33:$D$34,MATCH(U26,Parametros!$B$33:$B$34,1))+Parametros!$B$30+Parametros!$B$6+INDEX(Parametros!$F$33:$F$34,MATCH(U26,Parametros!$B$33:$B$34,1)))-INDEX(Parametros!$E$33:$E$34,MATCH(U26,Parametros!$B$33:$B$34,1))-Parametros!$B$31-D26</f>
        <v>2.5939999999999994</v>
      </c>
      <c r="W26" s="15">
        <f t="shared" si="6"/>
        <v>0.20108527131782941</v>
      </c>
      <c r="X26" s="19">
        <f>IF(Parametros!$B$8=1,CEILING((D26+Parametros!$B$39)/(1-Parametros!$B$37-Parametros!$B$38-Parametros!$B$6-Parametros!$B$9)+0.1,1)-0.1,ROUNDUP((D26+Parametros!$B$39)/(1-Parametros!$B$37-Parametros!$B$38-Parametros!$B$6-Parametros!$B$9),2))</f>
        <v>9.9</v>
      </c>
      <c r="Y26" s="18">
        <f>X26-X26*(Parametros!$B$37+Parametros!$B$38+Parametros!$B$6)-Parametros!$B$39-D26</f>
        <v>5.0039999999999996</v>
      </c>
      <c r="Z26" s="15">
        <f t="shared" si="7"/>
        <v>0.50545454545454538</v>
      </c>
    </row>
    <row r="27" spans="1:26" x14ac:dyDescent="0.3">
      <c r="A27" s="1">
        <v>24</v>
      </c>
      <c r="B27" s="1" t="s">
        <v>33</v>
      </c>
      <c r="C27" s="1">
        <v>3.58</v>
      </c>
      <c r="D27" s="1">
        <v>5.66</v>
      </c>
      <c r="E27" s="19">
        <f>IF(Parametros!$B$8=1,CEILING(D27/(1-Parametros!$B$9-Parametros!$B$6)+0.1,1)-0.1,ROUNDUP(D27/(1-Parametros!$B$9-Parametros!$B$6),2))</f>
        <v>12.9</v>
      </c>
      <c r="F27" s="18">
        <f>IF((1-Parametros!$D$15-Parametros!$B$12-Parametros!$B$6-Parametros!$B$5-Parametros!$F$15)&lt;=0,1000000000,MAX(Parametros!$B$15,(D27+Parametros!$E$15+Parametros!$B$13)/(1-Parametros!$D$15-Parametros!$B$12-Parametros!$B$6-Parametros!$B$5-Parametros!$F$15)))</f>
        <v>47.166666666666714</v>
      </c>
      <c r="G27" s="18">
        <f>IF((1-Parametros!$D$16-Parametros!$B$12-Parametros!$B$6-Parametros!$B$5-Parametros!$F$16)&lt;=0,1000000000,MAX(Parametros!$B$16,(D27+Parametros!$E$16+Parametros!$B$13)/(1-Parametros!$D$16-Parametros!$B$12-Parametros!$B$6-Parametros!$B$5-Parametros!$F$16)))</f>
        <v>19.209677419354843</v>
      </c>
      <c r="H27" s="18">
        <f>IF((1-Parametros!$D$17-Parametros!$B$12-Parametros!$B$6-Parametros!$B$5-Parametros!$F$17)&lt;=0,1000000000,MAX(Parametros!$B$17,(D27+Parametros!$E$17+Parametros!$B$13)/(1-Parametros!$D$17-Parametros!$B$12-Parametros!$B$6-Parametros!$B$5-Parametros!$F$17)))</f>
        <v>29</v>
      </c>
      <c r="I27" s="18">
        <f>IF((1-Parametros!$D$18-Parametros!$B$12-Parametros!$B$6-Parametros!$B$5-Parametros!$F$18)&lt;=0,1000000000,MAX(Parametros!$B$18,(D27+Parametros!$E$18+Parametros!$B$13)/(1-Parametros!$D$18-Parametros!$B$12-Parametros!$B$6-Parametros!$B$5-Parametros!$F$18)))</f>
        <v>50</v>
      </c>
      <c r="J27" s="18">
        <f>IF((1-Parametros!$D$19-Parametros!$B$12-Parametros!$B$6-Parametros!$B$5-Parametros!$F$19)&lt;=0,1000000000,MAX(Parametros!$B$19,(D27+Parametros!$E$19+Parametros!$B$13)/(1-Parametros!$D$19-Parametros!$B$12-Parametros!$B$6-Parametros!$B$5-Parametros!$F$19)))</f>
        <v>79</v>
      </c>
      <c r="K27" s="19">
        <f>IF(Parametros!$B$8=1,CEILING(IF(F27&lt;Parametros!$C$15,F27,IF(G27&lt;Parametros!$C$16,G27,IF(H27&lt;Parametros!$C$17,H27,IF(I27&lt;Parametros!$C$18,I27,J27))))+0.1,1)-0.1,ROUNDUP(IF(F27&lt;Parametros!$C$15,F27,IF(G27&lt;Parametros!$C$16,G27,IF(H27&lt;Parametros!$C$17,H27,IF(I27&lt;Parametros!$C$18,I27,J27)))),2))</f>
        <v>19.899999999999999</v>
      </c>
      <c r="L27" s="18">
        <f>K27-K27*(INDEX(Parametros!$D$15:$D$19,MATCH(K27,Parametros!$B$15:$B$19,1))+Parametros!$B$12+Parametros!$B$6+INDEX(Parametros!$F$15:$F$19,MATCH(K27,Parametros!$B$15:$B$19,1)))-INDEX(Parametros!$E$15:$E$19,MATCH(K27,Parametros!$B$15:$B$19,1))-Parametros!$B$13-D27</f>
        <v>4.4079999999999977</v>
      </c>
      <c r="M27" s="15">
        <f t="shared" si="4"/>
        <v>0.22150753768844211</v>
      </c>
      <c r="N27" s="18">
        <f>IF((1-Parametros!$D$26-Parametros!$B$23-Parametros!$B$6-Parametros!$B$5-Parametros!$F$26)&lt;=0,1000000000,MAX(Parametros!$B$26,(D27+Parametros!$E$26+Parametros!$B$24)/(1-Parametros!$D$26-Parametros!$B$23-Parametros!$B$6-Parametros!$B$5-Parametros!$F$26)))</f>
        <v>94.333333333333258</v>
      </c>
      <c r="O27" s="18">
        <f>IF((1-Parametros!$D$27-Parametros!$B$23-Parametros!$B$6-Parametros!$B$5-Parametros!$F$27)&lt;=0,1000000000,MAX(Parametros!$B$27,(D27+Parametros!$E$27+Parametros!$B$24)/(1-Parametros!$D$27-Parametros!$B$23-Parametros!$B$6-Parametros!$B$5-Parametros!$F$27)))</f>
        <v>17.25</v>
      </c>
      <c r="P27" s="19">
        <f>IF(Parametros!$B$8=1,CEILING(IF(N27&lt;Parametros!$C$26,N27,O27)+0.1,1)-0.1,ROUNDUP(IF(N27&lt;Parametros!$C$26,N27,O27),2))</f>
        <v>17.899999999999999</v>
      </c>
      <c r="Q27" s="18">
        <f>P27-P27*(INDEX(Parametros!$D$26:$D$27,MATCH(P27,Parametros!$B$26:$B$27,1))+Parametros!$B$23+Parametros!$B$6+INDEX(Parametros!$F$26:$F$27,MATCH(P27,Parametros!$B$26:$B$27,1)))-INDEX(Parametros!$E$26:$E$27,MATCH(P27,Parametros!$B$26:$B$27,1))-Parametros!$B$24-D27</f>
        <v>3.9439999999999991</v>
      </c>
      <c r="R27" s="15">
        <f t="shared" si="5"/>
        <v>0.22033519553072622</v>
      </c>
      <c r="S27" s="18">
        <f>IF((1-Parametros!$D$33-Parametros!$B$30-Parametros!$B$6-Parametros!$B$5-Parametros!$F$33)&lt;=0,1000000000,MAX(Parametros!$B$33,(D27+Parametros!$E$33+Parametros!$B$31)/(1-Parametros!$D$33-Parametros!$B$30-Parametros!$B$6-Parametros!$B$5-Parametros!$F$33)))</f>
        <v>14.636363636363638</v>
      </c>
      <c r="T27" s="18">
        <f>IF((1-Parametros!$D$34-Parametros!$B$30-Parametros!$B$6-Parametros!$B$5-Parametros!$F$34)&lt;=0,1000000000,MAX(Parametros!$B$34,(D27+Parametros!$E$34+Parametros!$B$31)/(1-Parametros!$D$34-Parametros!$B$30-Parametros!$B$6-Parametros!$B$5-Parametros!$F$34)))</f>
        <v>50</v>
      </c>
      <c r="U27" s="19">
        <f>IF(Parametros!$B$8=1,CEILING(IF(S27&lt;Parametros!$C$33,S27,T27)+0.1,1)-0.1,ROUNDUP(IF(S27&lt;Parametros!$C$33,S27,T27),2))</f>
        <v>14.9</v>
      </c>
      <c r="V27" s="18">
        <f>U27-U27*(INDEX(Parametros!$D$33:$D$34,MATCH(U27,Parametros!$B$33:$B$34,1))+Parametros!$B$30+Parametros!$B$6+INDEX(Parametros!$F$33:$F$34,MATCH(U27,Parametros!$B$33:$B$34,1)))-INDEX(Parametros!$E$33:$E$34,MATCH(U27,Parametros!$B$33:$B$34,1))-Parametros!$B$31-D27</f>
        <v>3.1539999999999999</v>
      </c>
      <c r="W27" s="15">
        <f t="shared" si="6"/>
        <v>0.21167785234899328</v>
      </c>
      <c r="X27" s="19">
        <f>IF(Parametros!$B$8=1,CEILING((D27+Parametros!$B$39)/(1-Parametros!$B$37-Parametros!$B$38-Parametros!$B$6-Parametros!$B$9)+0.1,1)-0.1,ROUNDUP((D27+Parametros!$B$39)/(1-Parametros!$B$37-Parametros!$B$38-Parametros!$B$6-Parametros!$B$9),2))</f>
        <v>12.9</v>
      </c>
      <c r="Y27" s="18">
        <f>X27-X27*(Parametros!$B$37+Parametros!$B$38+Parametros!$B$6)-Parametros!$B$39-D27</f>
        <v>6.7240000000000002</v>
      </c>
      <c r="Z27" s="15">
        <f t="shared" si="7"/>
        <v>0.52124031007751936</v>
      </c>
    </row>
    <row r="28" spans="1:26" x14ac:dyDescent="0.3">
      <c r="A28" s="1">
        <v>25</v>
      </c>
      <c r="B28" s="1" t="s">
        <v>101</v>
      </c>
      <c r="C28" s="1">
        <v>3.98</v>
      </c>
      <c r="D28" s="1">
        <v>7.27</v>
      </c>
      <c r="E28" s="19">
        <f>IF(Parametros!$B$8=1,CEILING(D28/(1-Parametros!$B$9-Parametros!$B$6)+0.1,1)-0.1,ROUNDUP(D28/(1-Parametros!$B$9-Parametros!$B$6),2))</f>
        <v>15.9</v>
      </c>
      <c r="F28" s="18">
        <f>IF((1-Parametros!$D$15-Parametros!$B$12-Parametros!$B$6-Parametros!$B$5-Parametros!$F$15)&lt;=0,1000000000,MAX(Parametros!$B$15,(D28+Parametros!$E$15+Parametros!$B$13)/(1-Parametros!$D$15-Parametros!$B$12-Parametros!$B$6-Parametros!$B$5-Parametros!$F$15)))</f>
        <v>60.583333333333385</v>
      </c>
      <c r="G28" s="18">
        <f>IF((1-Parametros!$D$16-Parametros!$B$12-Parametros!$B$6-Parametros!$B$5-Parametros!$F$16)&lt;=0,1000000000,MAX(Parametros!$B$16,(D28+Parametros!$E$16+Parametros!$B$13)/(1-Parametros!$D$16-Parametros!$B$12-Parametros!$B$6-Parametros!$B$5-Parametros!$F$16)))</f>
        <v>21.806451612903228</v>
      </c>
      <c r="H28" s="18">
        <f>IF((1-Parametros!$D$17-Parametros!$B$12-Parametros!$B$6-Parametros!$B$5-Parametros!$F$17)&lt;=0,1000000000,MAX(Parametros!$B$17,(D28+Parametros!$E$17+Parametros!$B$13)/(1-Parametros!$D$17-Parametros!$B$12-Parametros!$B$6-Parametros!$B$5-Parametros!$F$17)))</f>
        <v>29</v>
      </c>
      <c r="I28" s="18">
        <f>IF((1-Parametros!$D$18-Parametros!$B$12-Parametros!$B$6-Parametros!$B$5-Parametros!$F$18)&lt;=0,1000000000,MAX(Parametros!$B$18,(D28+Parametros!$E$18+Parametros!$B$13)/(1-Parametros!$D$18-Parametros!$B$12-Parametros!$B$6-Parametros!$B$5-Parametros!$F$18)))</f>
        <v>50</v>
      </c>
      <c r="J28" s="18">
        <f>IF((1-Parametros!$D$19-Parametros!$B$12-Parametros!$B$6-Parametros!$B$5-Parametros!$F$19)&lt;=0,1000000000,MAX(Parametros!$B$19,(D28+Parametros!$E$19+Parametros!$B$13)/(1-Parametros!$D$19-Parametros!$B$12-Parametros!$B$6-Parametros!$B$5-Parametros!$F$19)))</f>
        <v>79</v>
      </c>
      <c r="K28" s="19">
        <f>IF(Parametros!$B$8=1,CEILING(IF(F28&lt;Parametros!$C$15,F28,IF(G28&lt;Parametros!$C$16,G28,IF(H28&lt;Parametros!$C$17,H28,IF(I28&lt;Parametros!$C$18,I28,J28))))+0.1,1)-0.1,ROUNDUP(IF(F28&lt;Parametros!$C$15,F28,IF(G28&lt;Parametros!$C$16,G28,IF(H28&lt;Parametros!$C$17,H28,IF(I28&lt;Parametros!$C$18,I28,J28)))),2))</f>
        <v>21.9</v>
      </c>
      <c r="L28" s="18">
        <f>K28-K28*(INDEX(Parametros!$D$15:$D$19,MATCH(K28,Parametros!$B$15:$B$19,1))+Parametros!$B$12+Parametros!$B$6+INDEX(Parametros!$F$15:$F$19,MATCH(K28,Parametros!$B$15:$B$19,1)))-INDEX(Parametros!$E$15:$E$19,MATCH(K28,Parametros!$B$15:$B$19,1))-Parametros!$B$13-D28</f>
        <v>4.4379999999999988</v>
      </c>
      <c r="M28" s="15">
        <f t="shared" ref="M28" si="8">L28/K28</f>
        <v>0.20264840182648397</v>
      </c>
      <c r="N28" s="18">
        <f>IF((1-Parametros!$D$26-Parametros!$B$23-Parametros!$B$6-Parametros!$B$5-Parametros!$F$26)&lt;=0,1000000000,MAX(Parametros!$B$26,(D28+Parametros!$E$26+Parametros!$B$24)/(1-Parametros!$D$26-Parametros!$B$23-Parametros!$B$6-Parametros!$B$5-Parametros!$F$26)))</f>
        <v>121.16666666666656</v>
      </c>
      <c r="O28" s="18">
        <f>IF((1-Parametros!$D$27-Parametros!$B$23-Parametros!$B$6-Parametros!$B$5-Parametros!$F$27)&lt;=0,1000000000,MAX(Parametros!$B$27,(D28+Parametros!$E$27+Parametros!$B$24)/(1-Parametros!$D$27-Parametros!$B$23-Parametros!$B$6-Parametros!$B$5-Parametros!$F$27)))</f>
        <v>20.124999999999996</v>
      </c>
      <c r="P28" s="19">
        <f>IF(Parametros!$B$8=1,CEILING(IF(N28&lt;Parametros!$C$26,N28,O28)+0.1,1)-0.1,ROUNDUP(IF(N28&lt;Parametros!$C$26,N28,O28),2))</f>
        <v>20.9</v>
      </c>
      <c r="Q28" s="18">
        <f>P28-P28*(INDEX(Parametros!$D$26:$D$27,MATCH(P28,Parametros!$B$26:$B$27,1))+Parametros!$B$23+Parametros!$B$6+INDEX(Parametros!$F$26:$F$27,MATCH(P28,Parametros!$B$26:$B$27,1)))-INDEX(Parametros!$E$26:$E$27,MATCH(P28,Parametros!$B$26:$B$27,1))-Parametros!$B$24-D28</f>
        <v>4.613999999999999</v>
      </c>
      <c r="R28" s="15">
        <f t="shared" ref="R28" si="9">Q28/P28</f>
        <v>0.22076555023923441</v>
      </c>
      <c r="S28" s="18">
        <f>IF((1-Parametros!$D$33-Parametros!$B$30-Parametros!$B$6-Parametros!$B$5-Parametros!$F$33)&lt;=0,1000000000,MAX(Parametros!$B$33,(D28+Parametros!$E$33+Parametros!$B$31)/(1-Parametros!$D$33-Parametros!$B$30-Parametros!$B$6-Parametros!$B$5-Parametros!$F$33)))</f>
        <v>17.075757575757578</v>
      </c>
      <c r="T28" s="18">
        <f>IF((1-Parametros!$D$34-Parametros!$B$30-Parametros!$B$6-Parametros!$B$5-Parametros!$F$34)&lt;=0,1000000000,MAX(Parametros!$B$34,(D28+Parametros!$E$34+Parametros!$B$31)/(1-Parametros!$D$34-Parametros!$B$30-Parametros!$B$6-Parametros!$B$5-Parametros!$F$34)))</f>
        <v>50</v>
      </c>
      <c r="U28" s="19">
        <f>IF(Parametros!$B$8=1,CEILING(IF(S28&lt;Parametros!$C$33,S28,T28)+0.1,1)-0.1,ROUNDUP(IF(S28&lt;Parametros!$C$33,S28,T28),2))</f>
        <v>17.899999999999999</v>
      </c>
      <c r="V28" s="18">
        <f>U28-U28*(INDEX(Parametros!$D$33:$D$34,MATCH(U28,Parametros!$B$33:$B$34,1))+Parametros!$B$30+Parametros!$B$6+INDEX(Parametros!$F$33:$F$34,MATCH(U28,Parametros!$B$33:$B$34,1)))-INDEX(Parametros!$E$33:$E$34,MATCH(U28,Parametros!$B$33:$B$34,1))-Parametros!$B$31-D28</f>
        <v>4.1239999999999988</v>
      </c>
      <c r="W28" s="15">
        <f t="shared" ref="W28" si="10">V28/U28</f>
        <v>0.23039106145251392</v>
      </c>
      <c r="X28" s="19">
        <f>IF(Parametros!$B$8=1,CEILING((D28+Parametros!$B$39)/(1-Parametros!$B$37-Parametros!$B$38-Parametros!$B$6-Parametros!$B$9)+0.1,1)-0.1,ROUNDUP((D28+Parametros!$B$39)/(1-Parametros!$B$37-Parametros!$B$38-Parametros!$B$6-Parametros!$B$9),2))</f>
        <v>15.9</v>
      </c>
      <c r="Y28" s="18">
        <f>X28-X28*(Parametros!$B$37+Parametros!$B$38+Parametros!$B$6)-Parametros!$B$39-D28</f>
        <v>7.9940000000000015</v>
      </c>
      <c r="Z28" s="15">
        <f t="shared" ref="Z28" si="11">Y28/X28</f>
        <v>0.50276729559748434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Parametros</vt:lpstr>
      <vt:lpstr>Calculos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0</cp:revision>
  <dcterms:created xsi:type="dcterms:W3CDTF">2026-10-01T19:08:47Z</dcterms:created>
  <dcterms:modified xsi:type="dcterms:W3CDTF">2026-10-14T05:35:16Z</dcterms:modified>
  <dc:language>en-US</dc:language>
</cp:coreProperties>
</file>